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lalehriahi/Documents/GitHub/Ala-Riahi-data-analytics-portfolio/project-4-olist-ecommerce-intelligence/excel/"/>
    </mc:Choice>
  </mc:AlternateContent>
  <xr:revisionPtr revIDLastSave="0" documentId="13_ncr:1_{54608E0F-B9E9-3345-A554-2C2B8A0C0948}" xr6:coauthVersionLast="47" xr6:coauthVersionMax="47" xr10:uidLastSave="{00000000-0000-0000-0000-000000000000}"/>
  <bookViews>
    <workbookView xWindow="700" yWindow="500" windowWidth="22640" windowHeight="16280" activeTab="2" xr2:uid="{8B76D9B7-B05C-2848-B3EA-3E0D1A093FA5}"/>
  </bookViews>
  <sheets>
    <sheet name="category_monthly_metrics (2)" sheetId="4" r:id="rId1"/>
    <sheet name="Pivot_Category_Analytics" sheetId="1" r:id="rId2"/>
    <sheet name="CATEGORY PERFORMANCE DASHBOARD" sheetId="3" r:id="rId3"/>
  </sheets>
  <definedNames>
    <definedName name="ExternalData_1" localSheetId="0" hidden="1">'category_monthly_metrics (2)'!$A$1:$I$1238</definedName>
    <definedName name="Slicer_year">#N/A</definedName>
  </definedNames>
  <calcPr calcId="181029"/>
  <pivotCaches>
    <pivotCache cacheId="1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3" l="1"/>
  <c r="E12" i="3"/>
  <c r="C10" i="3"/>
  <c r="L102" i="1"/>
  <c r="L101" i="1"/>
  <c r="L100" i="1"/>
  <c r="L99" i="1"/>
  <c r="L98" i="1"/>
  <c r="L97" i="1"/>
  <c r="L96" i="1"/>
  <c r="L95" i="1"/>
  <c r="L94" i="1"/>
  <c r="L93" i="1"/>
  <c r="L92" i="1"/>
  <c r="L91" i="1"/>
  <c r="K92" i="1"/>
  <c r="K93" i="1"/>
  <c r="K94" i="1"/>
  <c r="K95" i="1"/>
  <c r="K96" i="1"/>
  <c r="K97" i="1"/>
  <c r="K98" i="1"/>
  <c r="K99" i="1"/>
  <c r="K100" i="1"/>
  <c r="K101" i="1"/>
  <c r="K102" i="1"/>
  <c r="K91" i="1"/>
  <c r="J92" i="1"/>
  <c r="J93" i="1"/>
  <c r="J94" i="1"/>
  <c r="J95" i="1"/>
  <c r="J96" i="1"/>
  <c r="J97" i="1"/>
  <c r="J98" i="1"/>
  <c r="J99" i="1"/>
  <c r="J100" i="1"/>
  <c r="J101" i="1"/>
  <c r="J102" i="1"/>
  <c r="J9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0A5BA-1FD1-8044-BE31-D44E4CA2B74F}" keepAlive="1" name="Query - category_monthly_metrics" description="Connection to the 'category_monthly_metrics' query in the workbook." type="5" refreshedVersion="0" background="1">
    <dbPr connection="Provider=Microsoft.Mashup.OleDb.1;Data Source=$Workbook$;Location=category_monthly_metrics;Extended Properties=&quot;&quot;" command="SELECT * FROM [category_monthly_metrics]"/>
  </connection>
  <connection id="2" xr16:uid="{FACADB65-D55F-B14F-9415-31B39B84D9E6}" keepAlive="1" name="Query - category_monthly_metrics (2)" description="Connection to the 'category_monthly_metrics (2)' query in the workbook." type="5" refreshedVersion="8" background="1" saveData="1">
    <dbPr connection="Provider=Microsoft.Mashup.OleDb.1;Data Source=$Workbook$;Location=&quot;category_monthly_metrics (2)&quot;;Extended Properties=&quot;&quot;" command="SELECT * FROM [category_monthly_metrics (2)]"/>
  </connection>
  <connection id="3" xr16:uid="{77821EDE-C2D1-5647-8FDC-6F70595E94DC}" keepAlive="1" name="Query - category_monthly_metrics (3)" description="Connection to the 'category_monthly_metrics (3)' query in the workbook." type="5" refreshedVersion="8" background="1" saveData="1">
    <dbPr connection="Provider=Microsoft.Mashup.OleDb.1;Data Source=$Workbook$;Location=&quot;category_monthly_metrics (3)&quot;;Extended Properties=&quot;&quot;" command="SELECT * FROM [category_monthly_metrics (3)]"/>
  </connection>
</connections>
</file>

<file path=xl/sharedStrings.xml><?xml version="1.0" encoding="utf-8"?>
<sst xmlns="http://schemas.openxmlformats.org/spreadsheetml/2006/main" count="1463" uniqueCount="107">
  <si>
    <t>year</t>
  </si>
  <si>
    <t>year_month</t>
  </si>
  <si>
    <t>product_category_name_english</t>
  </si>
  <si>
    <t>order_items_count</t>
  </si>
  <si>
    <t>distinct_orders</t>
  </si>
  <si>
    <t>revenue</t>
  </si>
  <si>
    <t>avg_freight_ratio</t>
  </si>
  <si>
    <t>avg_review_score</t>
  </si>
  <si>
    <t>late_delivery_rate</t>
  </si>
  <si>
    <t>furniture_decor</t>
  </si>
  <si>
    <t>health_beauty</t>
  </si>
  <si>
    <t>telephony</t>
  </si>
  <si>
    <t>air_conditioning</t>
  </si>
  <si>
    <t>audio</t>
  </si>
  <si>
    <t>auto</t>
  </si>
  <si>
    <t>baby</t>
  </si>
  <si>
    <t>bed_bath_table</t>
  </si>
  <si>
    <t>books_general_interest</t>
  </si>
  <si>
    <t>books_technical</t>
  </si>
  <si>
    <t>computers_accessories</t>
  </si>
  <si>
    <t>consoles_games</t>
  </si>
  <si>
    <t>cool_stuff</t>
  </si>
  <si>
    <t>diapers_and_hygiene</t>
  </si>
  <si>
    <t>electronics</t>
  </si>
  <si>
    <t>fashio_female_clothing</t>
  </si>
  <si>
    <t>fashion_bags_accessories</t>
  </si>
  <si>
    <t>fashion_male_clothing</t>
  </si>
  <si>
    <t>fashion_shoes</t>
  </si>
  <si>
    <t>fixed_telephony</t>
  </si>
  <si>
    <t>food</t>
  </si>
  <si>
    <t>garden_tools</t>
  </si>
  <si>
    <t>housewares</t>
  </si>
  <si>
    <t>industry_commerce_and_business</t>
  </si>
  <si>
    <t>market_place</t>
  </si>
  <si>
    <t>office_furniture</t>
  </si>
  <si>
    <t>perfumery</t>
  </si>
  <si>
    <t>pet_shop</t>
  </si>
  <si>
    <t>sports_leisure</t>
  </si>
  <si>
    <t>toys</t>
  </si>
  <si>
    <t>watches_gifts</t>
  </si>
  <si>
    <t>agro_industry_and_commerce</t>
  </si>
  <si>
    <t>computers</t>
  </si>
  <si>
    <t>construction_tools_construction</t>
  </si>
  <si>
    <t>dvds_blu_ray</t>
  </si>
  <si>
    <t>fashion_underwear_beach</t>
  </si>
  <si>
    <t>furniture_bedroom</t>
  </si>
  <si>
    <t>furniture_living_room</t>
  </si>
  <si>
    <t>home_appliances_2</t>
  </si>
  <si>
    <t>home_comfort_2</t>
  </si>
  <si>
    <t>kitchen_dining_laundry_garden_furniture</t>
  </si>
  <si>
    <t>luggage_accessories</t>
  </si>
  <si>
    <t>music</t>
  </si>
  <si>
    <t>musical_instruments</t>
  </si>
  <si>
    <t>security_and_services</t>
  </si>
  <si>
    <t>small_appliances</t>
  </si>
  <si>
    <t>stationery</t>
  </si>
  <si>
    <t>books_imported</t>
  </si>
  <si>
    <t>cine_photo</t>
  </si>
  <si>
    <t>construction_tools_safety</t>
  </si>
  <si>
    <t>costruction_tools_garden</t>
  </si>
  <si>
    <t>home_appliances</t>
  </si>
  <si>
    <t>home_confort</t>
  </si>
  <si>
    <t>home_construction</t>
  </si>
  <si>
    <t>tablets_printing_image</t>
  </si>
  <si>
    <t>art</t>
  </si>
  <si>
    <t>drinks</t>
  </si>
  <si>
    <t>fashion_sport</t>
  </si>
  <si>
    <t>food_drink</t>
  </si>
  <si>
    <t>signaling_and_security</t>
  </si>
  <si>
    <t>christmas_supplies</t>
  </si>
  <si>
    <t>costruction_tools_tools</t>
  </si>
  <si>
    <t>furniture_mattress_and_upholstery</t>
  </si>
  <si>
    <t>la_cuisine</t>
  </si>
  <si>
    <t>arts_and_craftmanship</t>
  </si>
  <si>
    <t>fashion_childrens_clothes</t>
  </si>
  <si>
    <t>small_appliances_home_oven_and_coffee</t>
  </si>
  <si>
    <t>cds_dvds_musicals</t>
  </si>
  <si>
    <t>construction_tools_lights</t>
  </si>
  <si>
    <t>party_supplies</t>
  </si>
  <si>
    <t>flowers</t>
  </si>
  <si>
    <t>Row Labels</t>
  </si>
  <si>
    <t>Grand Total</t>
  </si>
  <si>
    <t>2017</t>
  </si>
  <si>
    <t>2018</t>
  </si>
  <si>
    <t>Sum of distinct_orders</t>
  </si>
  <si>
    <t>Sum of revenue</t>
  </si>
  <si>
    <t>Average Review Score</t>
  </si>
  <si>
    <t>Total Revenue</t>
  </si>
  <si>
    <t>Distinct Orders</t>
  </si>
  <si>
    <t>Late Delivery Rate</t>
  </si>
  <si>
    <t>Jan</t>
  </si>
  <si>
    <t>Feb</t>
  </si>
  <si>
    <t>Mar</t>
  </si>
  <si>
    <t>Apr</t>
  </si>
  <si>
    <t>May</t>
  </si>
  <si>
    <t>Jun</t>
  </si>
  <si>
    <t>Jul</t>
  </si>
  <si>
    <t>Aug</t>
  </si>
  <si>
    <t>Sep</t>
  </si>
  <si>
    <t>Oct</t>
  </si>
  <si>
    <t>Nov</t>
  </si>
  <si>
    <t>Dec</t>
  </si>
  <si>
    <t>Unknown</t>
  </si>
  <si>
    <t>Avg.late_delivery_rate</t>
  </si>
  <si>
    <t>Late Delivery %</t>
  </si>
  <si>
    <t>Month</t>
  </si>
  <si>
    <t>Overall Avg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</si>
</sst>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409]#,##0.00"/>
    <numFmt numFmtId="166" formatCode="[$$-409]#,##0"/>
    <numFmt numFmtId="167" formatCode="0.0%"/>
    <numFmt numFmtId="172" formatCode="\$#,##0.0,,&quot;M&quot;"/>
    <numFmt numFmtId="173" formatCode="#,##0.0,&quot;K&quot;"/>
  </numFmts>
  <fonts count="2">
    <font>
      <sz val="12"/>
      <color theme="1"/>
      <name val="Aptos Narrow"/>
      <family val="2"/>
      <scheme val="minor"/>
    </font>
    <font>
      <b/>
      <sz val="12"/>
      <color rgb="FF0E0E0E"/>
      <name val=".AppleSystemUIFont"/>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66" fontId="0" fillId="0" borderId="0" xfId="0" applyNumberFormat="1"/>
    <xf numFmtId="1" fontId="0" fillId="0" borderId="0" xfId="0" applyNumberFormat="1"/>
    <xf numFmtId="167" fontId="0" fillId="0" borderId="0" xfId="0" applyNumberFormat="1"/>
    <xf numFmtId="0" fontId="0" fillId="0" borderId="0" xfId="0" applyAlignment="1"/>
    <xf numFmtId="0" fontId="1" fillId="0" borderId="0" xfId="0" applyFont="1"/>
    <xf numFmtId="172" fontId="0" fillId="0" borderId="0" xfId="0" applyNumberFormat="1"/>
    <xf numFmtId="173" fontId="0" fillId="0" borderId="0" xfId="0" applyNumberFormat="1"/>
  </cellXfs>
  <cellStyles count="1">
    <cellStyle name="Normal" xfId="0" builtinId="0"/>
  </cellStyles>
  <dxfs count="2">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[category_monthly_metrics.xlsx]Pivot_Category_Analytics!PivotTable9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Segoe UI Semibold" panose="020B0502040204020203" pitchFamily="34" charset="0"/>
                <a:ea typeface="+mn-ea"/>
                <a:cs typeface="Segoe UI Semibold" panose="020B0502040204020203" pitchFamily="34" charset="0"/>
              </a:defRPr>
            </a:pPr>
            <a:r>
              <a:rPr lang="en-US" b="1" i="0">
                <a:solidFill>
                  <a:schemeClr val="accent1">
                    <a:lumMod val="75000"/>
                  </a:schemeClr>
                </a:solidFill>
                <a:latin typeface="Segoe UI Semibold" panose="020B0502040204020203" pitchFamily="34" charset="0"/>
                <a:cs typeface="Segoe UI Semibold" panose="020B0502040204020203" pitchFamily="34" charset="0"/>
              </a:rPr>
              <a:t>Revenue Trend by Month</a:t>
            </a:r>
          </a:p>
        </c:rich>
      </c:tx>
      <c:layout>
        <c:manualLayout>
          <c:xMode val="edge"/>
          <c:yMode val="edge"/>
          <c:x val="0.30052388401789937"/>
          <c:y val="2.357468393079230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Segoe UI Semibold" panose="020B0502040204020203" pitchFamily="34" charset="0"/>
              <a:ea typeface="+mn-ea"/>
              <a:cs typeface="Segoe UI Semibold" panose="020B0502040204020203" pitchFamily="34" charset="0"/>
            </a:defRPr>
          </a:pPr>
          <a:endParaRPr lang="en-I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Pivot_Category_Analytics!$C$90</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Pivot_Category_Analytics!$B$91:$B$103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Pivot_Category_Analytics!$C$91:$C$103</c:f>
              <c:numCache>
                <c:formatCode>[$$-409]#,##0</c:formatCode>
                <c:ptCount val="12"/>
                <c:pt idx="0">
                  <c:v>1249146.5199999998</c:v>
                </c:pt>
                <c:pt idx="1">
                  <c:v>1278800.1599999999</c:v>
                </c:pt>
                <c:pt idx="2">
                  <c:v>1590510.9800000004</c:v>
                </c:pt>
                <c:pt idx="3">
                  <c:v>1572879.42</c:v>
                </c:pt>
                <c:pt idx="4">
                  <c:v>1737333.0199999996</c:v>
                </c:pt>
                <c:pt idx="5">
                  <c:v>1529190.1300000004</c:v>
                </c:pt>
                <c:pt idx="6">
                  <c:v>1646328.0999999992</c:v>
                </c:pt>
                <c:pt idx="7">
                  <c:v>1674418.3300000008</c:v>
                </c:pt>
                <c:pt idx="8">
                  <c:v>722525.89999999991</c:v>
                </c:pt>
                <c:pt idx="9">
                  <c:v>770766.73</c:v>
                </c:pt>
                <c:pt idx="10">
                  <c:v>1184621.1399999999</c:v>
                </c:pt>
                <c:pt idx="11">
                  <c:v>865689.69</c:v>
                </c:pt>
              </c:numCache>
            </c:numRef>
          </c:val>
          <c:smooth val="0"/>
          <c:extLst>
            <c:ext xmlns:c16="http://schemas.microsoft.com/office/drawing/2014/chart" uri="{C3380CC4-5D6E-409C-BE32-E72D297353CC}">
              <c16:uniqueId val="{00000000-A3B1-0A47-847E-AC8169A2FF89}"/>
            </c:ext>
          </c:extLst>
        </c:ser>
        <c:dLbls>
          <c:showLegendKey val="0"/>
          <c:showVal val="0"/>
          <c:showCatName val="0"/>
          <c:showSerName val="0"/>
          <c:showPercent val="0"/>
          <c:showBubbleSize val="0"/>
        </c:dLbls>
        <c:marker val="1"/>
        <c:smooth val="0"/>
        <c:axId val="664795599"/>
        <c:axId val="578830895"/>
      </c:lineChart>
      <c:lineChart>
        <c:grouping val="standard"/>
        <c:varyColors val="0"/>
        <c:ser>
          <c:idx val="1"/>
          <c:order val="1"/>
          <c:tx>
            <c:strRef>
              <c:f>Pivot_Category_Analytics!$D$90</c:f>
              <c:strCache>
                <c:ptCount val="1"/>
                <c:pt idx="0">
                  <c:v>Sum of distinct_orders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Pivot_Category_Analytics!$B$91:$B$103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Pivot_Category_Analytics!$D$91:$D$103</c:f>
              <c:numCache>
                <c:formatCode>#,##0</c:formatCode>
                <c:ptCount val="12"/>
                <c:pt idx="0">
                  <c:v>8059</c:v>
                </c:pt>
                <c:pt idx="1">
                  <c:v>8462</c:v>
                </c:pt>
                <c:pt idx="2">
                  <c:v>9901</c:v>
                </c:pt>
                <c:pt idx="3">
                  <c:v>9409</c:v>
                </c:pt>
                <c:pt idx="4">
                  <c:v>10609</c:v>
                </c:pt>
                <c:pt idx="5">
                  <c:v>9453</c:v>
                </c:pt>
                <c:pt idx="6">
                  <c:v>10342</c:v>
                </c:pt>
                <c:pt idx="7">
                  <c:v>10863</c:v>
                </c:pt>
                <c:pt idx="8">
                  <c:v>4274</c:v>
                </c:pt>
                <c:pt idx="9">
                  <c:v>4604</c:v>
                </c:pt>
                <c:pt idx="10">
                  <c:v>7513</c:v>
                </c:pt>
                <c:pt idx="11">
                  <c:v>5665</c:v>
                </c:pt>
              </c:numCache>
            </c:numRef>
          </c:val>
          <c:smooth val="0"/>
          <c:extLst>
            <c:ext xmlns:c16="http://schemas.microsoft.com/office/drawing/2014/chart" uri="{C3380CC4-5D6E-409C-BE32-E72D297353CC}">
              <c16:uniqueId val="{00000002-A3B1-0A47-847E-AC8169A2FF89}"/>
            </c:ext>
          </c:extLst>
        </c:ser>
        <c:dLbls>
          <c:showLegendKey val="0"/>
          <c:showVal val="0"/>
          <c:showCatName val="0"/>
          <c:showSerName val="0"/>
          <c:showPercent val="0"/>
          <c:showBubbleSize val="0"/>
        </c:dLbls>
        <c:marker val="1"/>
        <c:smooth val="0"/>
        <c:axId val="354639039"/>
        <c:axId val="354654655"/>
      </c:lineChart>
      <c:catAx>
        <c:axId val="6647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578830895"/>
        <c:crosses val="autoZero"/>
        <c:auto val="1"/>
        <c:lblAlgn val="ctr"/>
        <c:lblOffset val="100"/>
        <c:noMultiLvlLbl val="0"/>
      </c:catAx>
      <c:valAx>
        <c:axId val="57883089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cross"/>
        <c:minorTickMark val="cross"/>
        <c:tickLblPos val="nextTo"/>
        <c:spPr>
          <a:noFill/>
          <a:ln>
            <a:solidFill>
              <a:schemeClr val="tx1">
                <a:lumMod val="85000"/>
                <a:lumOff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6647955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R"/>
              </a:p>
            </c:txPr>
          </c:dispUnitsLbl>
        </c:dispUnits>
      </c:valAx>
      <c:valAx>
        <c:axId val="35465465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354639039"/>
        <c:crosses val="max"/>
        <c:crossBetween val="between"/>
      </c:valAx>
      <c:catAx>
        <c:axId val="354639039"/>
        <c:scaling>
          <c:orientation val="minMax"/>
        </c:scaling>
        <c:delete val="1"/>
        <c:axPos val="b"/>
        <c:numFmt formatCode="General" sourceLinked="1"/>
        <c:majorTickMark val="out"/>
        <c:minorTickMark val="none"/>
        <c:tickLblPos val="nextTo"/>
        <c:crossAx val="35465465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[category_monthly_metrics.xlsx]Pivot_Category_Analytics!PivotTable2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latin typeface="Segoe UI" panose="020B0502040204020203" pitchFamily="34" charset="0"/>
                <a:cs typeface="Segoe UI" panose="020B0502040204020203" pitchFamily="34" charset="0"/>
              </a:rPr>
              <a:t>Top 10 Categories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Pivot_Category_Analytics!$C$13</c:f>
              <c:strCache>
                <c:ptCount val="1"/>
                <c:pt idx="0">
                  <c:v>Total</c:v>
                </c:pt>
              </c:strCache>
            </c:strRef>
          </c:tx>
          <c:spPr>
            <a:solidFill>
              <a:schemeClr val="accent1"/>
            </a:solidFill>
            <a:ln>
              <a:noFill/>
            </a:ln>
            <a:effectLst/>
          </c:spPr>
          <c:invertIfNegative val="0"/>
          <c:cat>
            <c:strRef>
              <c:f>Pivot_Category_Analytics!$B$14:$B$24</c:f>
              <c:strCache>
                <c:ptCount val="10"/>
                <c:pt idx="0">
                  <c:v>health_beauty</c:v>
                </c:pt>
                <c:pt idx="1">
                  <c:v>watches_gifts</c:v>
                </c:pt>
                <c:pt idx="2">
                  <c:v>bed_bath_table</c:v>
                </c:pt>
                <c:pt idx="3">
                  <c:v>sports_leisure</c:v>
                </c:pt>
                <c:pt idx="4">
                  <c:v>computers_accessories</c:v>
                </c:pt>
                <c:pt idx="5">
                  <c:v>furniture_decor</c:v>
                </c:pt>
                <c:pt idx="6">
                  <c:v>housewares</c:v>
                </c:pt>
                <c:pt idx="7">
                  <c:v>cool_stuff</c:v>
                </c:pt>
                <c:pt idx="8">
                  <c:v>auto</c:v>
                </c:pt>
                <c:pt idx="9">
                  <c:v>garden_tools</c:v>
                </c:pt>
              </c:strCache>
            </c:strRef>
          </c:cat>
          <c:val>
            <c:numRef>
              <c:f>Pivot_Category_Analytics!$C$14:$C$24</c:f>
              <c:numCache>
                <c:formatCode>[$$-409]#,##0</c:formatCode>
                <c:ptCount val="10"/>
                <c:pt idx="0">
                  <c:v>1438591.58</c:v>
                </c:pt>
                <c:pt idx="1">
                  <c:v>1302399.0600000003</c:v>
                </c:pt>
                <c:pt idx="2">
                  <c:v>1249862.77</c:v>
                </c:pt>
                <c:pt idx="3">
                  <c:v>1156426.47</c:v>
                </c:pt>
                <c:pt idx="4">
                  <c:v>1062106.8199999998</c:v>
                </c:pt>
                <c:pt idx="5">
                  <c:v>898183.31</c:v>
                </c:pt>
                <c:pt idx="6">
                  <c:v>779085.76</c:v>
                </c:pt>
                <c:pt idx="7">
                  <c:v>718943.1399999999</c:v>
                </c:pt>
                <c:pt idx="8">
                  <c:v>683403.85000000009</c:v>
                </c:pt>
                <c:pt idx="9">
                  <c:v>583670.95000000007</c:v>
                </c:pt>
              </c:numCache>
            </c:numRef>
          </c:val>
          <c:extLst>
            <c:ext xmlns:c16="http://schemas.microsoft.com/office/drawing/2014/chart" uri="{C3380CC4-5D6E-409C-BE32-E72D297353CC}">
              <c16:uniqueId val="{00000000-5104-3749-ADA6-FEF22EDCB9C5}"/>
            </c:ext>
          </c:extLst>
        </c:ser>
        <c:dLbls>
          <c:showLegendKey val="0"/>
          <c:showVal val="0"/>
          <c:showCatName val="0"/>
          <c:showSerName val="0"/>
          <c:showPercent val="0"/>
          <c:showBubbleSize val="0"/>
        </c:dLbls>
        <c:gapWidth val="219"/>
        <c:overlap val="-27"/>
        <c:axId val="419574079"/>
        <c:axId val="419491647"/>
      </c:barChart>
      <c:catAx>
        <c:axId val="41957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419491647"/>
        <c:crosses val="autoZero"/>
        <c:auto val="1"/>
        <c:lblAlgn val="ctr"/>
        <c:lblOffset val="100"/>
        <c:noMultiLvlLbl val="0"/>
      </c:catAx>
      <c:valAx>
        <c:axId val="41949164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4195740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R"/>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[category_monthly_metrics.xlsx]Pivot_Category_Analytics!PivotTable3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latin typeface="Segoe UI" panose="020B0502040204020203" pitchFamily="34" charset="0"/>
                <a:cs typeface="Segoe UI" panose="020B0502040204020203" pitchFamily="34" charset="0"/>
              </a:rPr>
              <a:t>Top 10 most popular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Pivot_Category_Analytics!$F$13</c:f>
              <c:strCache>
                <c:ptCount val="1"/>
                <c:pt idx="0">
                  <c:v>Total</c:v>
                </c:pt>
              </c:strCache>
            </c:strRef>
          </c:tx>
          <c:spPr>
            <a:solidFill>
              <a:schemeClr val="accent1"/>
            </a:solidFill>
            <a:ln>
              <a:noFill/>
            </a:ln>
            <a:effectLst/>
          </c:spPr>
          <c:invertIfNegative val="0"/>
          <c:cat>
            <c:strRef>
              <c:f>Pivot_Category_Analytics!$E$14:$E$24</c:f>
              <c:strCache>
                <c:ptCount val="10"/>
                <c:pt idx="0">
                  <c:v>bed_bath_table</c:v>
                </c:pt>
                <c:pt idx="1">
                  <c:v>health_beauty</c:v>
                </c:pt>
                <c:pt idx="2">
                  <c:v>sports_leisure</c:v>
                </c:pt>
                <c:pt idx="3">
                  <c:v>computers_accessories</c:v>
                </c:pt>
                <c:pt idx="4">
                  <c:v>furniture_decor</c:v>
                </c:pt>
                <c:pt idx="5">
                  <c:v>housewares</c:v>
                </c:pt>
                <c:pt idx="6">
                  <c:v>watches_gifts</c:v>
                </c:pt>
                <c:pt idx="7">
                  <c:v>telephony</c:v>
                </c:pt>
                <c:pt idx="8">
                  <c:v>auto</c:v>
                </c:pt>
                <c:pt idx="9">
                  <c:v>toys</c:v>
                </c:pt>
              </c:strCache>
            </c:strRef>
          </c:cat>
          <c:val>
            <c:numRef>
              <c:f>Pivot_Category_Analytics!$F$14:$F$24</c:f>
              <c:numCache>
                <c:formatCode>#,##0</c:formatCode>
                <c:ptCount val="10"/>
                <c:pt idx="0">
                  <c:v>9412</c:v>
                </c:pt>
                <c:pt idx="1">
                  <c:v>8791</c:v>
                </c:pt>
                <c:pt idx="2">
                  <c:v>7701</c:v>
                </c:pt>
                <c:pt idx="3">
                  <c:v>6671</c:v>
                </c:pt>
                <c:pt idx="4">
                  <c:v>6397</c:v>
                </c:pt>
                <c:pt idx="5">
                  <c:v>5875</c:v>
                </c:pt>
                <c:pt idx="6">
                  <c:v>5619</c:v>
                </c:pt>
                <c:pt idx="7">
                  <c:v>4189</c:v>
                </c:pt>
                <c:pt idx="8">
                  <c:v>3886</c:v>
                </c:pt>
                <c:pt idx="9">
                  <c:v>3861</c:v>
                </c:pt>
              </c:numCache>
            </c:numRef>
          </c:val>
          <c:extLst>
            <c:ext xmlns:c16="http://schemas.microsoft.com/office/drawing/2014/chart" uri="{C3380CC4-5D6E-409C-BE32-E72D297353CC}">
              <c16:uniqueId val="{00000000-DA0F-574B-AACE-C5073E30A2DD}"/>
            </c:ext>
          </c:extLst>
        </c:ser>
        <c:dLbls>
          <c:showLegendKey val="0"/>
          <c:showVal val="0"/>
          <c:showCatName val="0"/>
          <c:showSerName val="0"/>
          <c:showPercent val="0"/>
          <c:showBubbleSize val="0"/>
        </c:dLbls>
        <c:gapWidth val="219"/>
        <c:overlap val="-27"/>
        <c:axId val="1149196192"/>
        <c:axId val="234422911"/>
      </c:barChart>
      <c:catAx>
        <c:axId val="11491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234422911"/>
        <c:crosses val="autoZero"/>
        <c:auto val="1"/>
        <c:lblAlgn val="ctr"/>
        <c:lblOffset val="100"/>
        <c:noMultiLvlLbl val="0"/>
      </c:catAx>
      <c:valAx>
        <c:axId val="234422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11491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effectLst/>
                <a:latin typeface="Segoe UI" panose="020B0502040204020203" pitchFamily="34" charset="0"/>
                <a:cs typeface="Segoe UI" panose="020B0502040204020203" pitchFamily="34" charset="0"/>
              </a:rPr>
              <a:t>Average Late Delivery Rate by Month</a:t>
            </a:r>
            <a:endParaRPr lang="en-US">
              <a:solidFill>
                <a:schemeClr val="accent1">
                  <a:lumMod val="75000"/>
                </a:schemeClr>
              </a:solidFill>
              <a:effectLst/>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R"/>
        </a:p>
      </c:txPr>
    </c:title>
    <c:autoTitleDeleted val="0"/>
    <c:plotArea>
      <c:layout/>
      <c:lineChart>
        <c:grouping val="standard"/>
        <c:varyColors val="0"/>
        <c:ser>
          <c:idx val="0"/>
          <c:order val="0"/>
          <c:tx>
            <c:v>Late Delivery</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0"/>
              <c:layout>
                <c:manualLayout>
                  <c:x val="-6.5656565656565746E-2"/>
                  <c:y val="-6.562500807394292E-2"/>
                </c:manualLayout>
              </c:layout>
              <c:tx>
                <c:rich>
                  <a:bodyPr/>
                  <a:lstStyle/>
                  <a:p>
                    <a:r>
                      <a:rPr lang="en-US"/>
                      <a:t>Holiday Peak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782-9F4E-894F-12105D5532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Pivot_Category_Analytics!$J$91:$J$102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Pivot_Category_Analytics!$K$91:$K$102</c:f>
              <c:numCache>
                <c:formatCode>0.0%</c:formatCode>
                <c:ptCount val="12"/>
                <c:pt idx="0">
                  <c:v>4.257522943383657E-2</c:v>
                </c:pt>
                <c:pt idx="1">
                  <c:v>9.4022078519838209E-2</c:v>
                </c:pt>
                <c:pt idx="2">
                  <c:v>0.10793386601303288</c:v>
                </c:pt>
                <c:pt idx="3">
                  <c:v>7.5808144305931996E-2</c:v>
                </c:pt>
                <c:pt idx="4">
                  <c:v>4.8675524893278921E-2</c:v>
                </c:pt>
                <c:pt idx="5">
                  <c:v>1.4068092137115571E-2</c:v>
                </c:pt>
                <c:pt idx="6">
                  <c:v>3.7540374868618734E-2</c:v>
                </c:pt>
                <c:pt idx="7">
                  <c:v>4.014220156923836E-2</c:v>
                </c:pt>
                <c:pt idx="8">
                  <c:v>7.6020599271805323E-2</c:v>
                </c:pt>
                <c:pt idx="9">
                  <c:v>6.2641058135952679E-2</c:v>
                </c:pt>
                <c:pt idx="10">
                  <c:v>0.13598365585293107</c:v>
                </c:pt>
                <c:pt idx="11">
                  <c:v>5.9674775079247705E-2</c:v>
                </c:pt>
              </c:numCache>
            </c:numRef>
          </c:val>
          <c:smooth val="0"/>
          <c:extLst>
            <c:ext xmlns:c16="http://schemas.microsoft.com/office/drawing/2014/chart" uri="{C3380CC4-5D6E-409C-BE32-E72D297353CC}">
              <c16:uniqueId val="{00000000-9782-9F4E-894F-12105D55324E}"/>
            </c:ext>
          </c:extLst>
        </c:ser>
        <c:ser>
          <c:idx val="1"/>
          <c:order val="1"/>
          <c:tx>
            <c:strRef>
              <c:f>Pivot_Category_Analytics!$L$90</c:f>
              <c:strCache>
                <c:ptCount val="1"/>
                <c:pt idx="0">
                  <c:v>Overall Avg (6.1%)</c:v>
                </c:pt>
              </c:strCache>
            </c:strRef>
          </c:tx>
          <c:spPr>
            <a:ln w="28575" cap="rnd">
              <a:solidFill>
                <a:schemeClr val="accent2">
                  <a:lumMod val="40000"/>
                  <a:lumOff val="60000"/>
                </a:schemeClr>
              </a:solidFill>
              <a:prstDash val="dash"/>
              <a:round/>
            </a:ln>
            <a:effectLst/>
          </c:spPr>
          <c:marker>
            <c:symbol val="none"/>
          </c:marker>
          <c:cat>
            <c:strRef>
              <c:f>Pivot_Category_Analytics!$J$91:$J$102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Pivot_Category_Analytics!$L$91:$L$102</c:f>
              <c:numCache>
                <c:formatCode>0.0%</c:formatCode>
                <c:ptCount val="12"/>
                <c:pt idx="0">
                  <c:v>6.283936424171678E-2</c:v>
                </c:pt>
                <c:pt idx="1">
                  <c:v>6.283936424171678E-2</c:v>
                </c:pt>
                <c:pt idx="2">
                  <c:v>6.283936424171678E-2</c:v>
                </c:pt>
                <c:pt idx="3">
                  <c:v>6.283936424171678E-2</c:v>
                </c:pt>
                <c:pt idx="4">
                  <c:v>6.283936424171678E-2</c:v>
                </c:pt>
                <c:pt idx="5">
                  <c:v>6.283936424171678E-2</c:v>
                </c:pt>
                <c:pt idx="6">
                  <c:v>6.283936424171678E-2</c:v>
                </c:pt>
                <c:pt idx="7">
                  <c:v>6.283936424171678E-2</c:v>
                </c:pt>
                <c:pt idx="8">
                  <c:v>6.283936424171678E-2</c:v>
                </c:pt>
                <c:pt idx="9">
                  <c:v>6.283936424171678E-2</c:v>
                </c:pt>
                <c:pt idx="10">
                  <c:v>6.283936424171678E-2</c:v>
                </c:pt>
                <c:pt idx="11">
                  <c:v>6.283936424171678E-2</c:v>
                </c:pt>
              </c:numCache>
            </c:numRef>
          </c:val>
          <c:smooth val="0"/>
          <c:extLst>
            <c:ext xmlns:c16="http://schemas.microsoft.com/office/drawing/2014/chart" uri="{C3380CC4-5D6E-409C-BE32-E72D297353CC}">
              <c16:uniqueId val="{00000001-9782-9F4E-894F-12105D55324E}"/>
            </c:ext>
          </c:extLst>
        </c:ser>
        <c:dLbls>
          <c:showLegendKey val="0"/>
          <c:showVal val="0"/>
          <c:showCatName val="0"/>
          <c:showSerName val="0"/>
          <c:showPercent val="0"/>
          <c:showBubbleSize val="0"/>
        </c:dLbls>
        <c:marker val="1"/>
        <c:smooth val="0"/>
        <c:axId val="1151515392"/>
        <c:axId val="1151517104"/>
      </c:lineChart>
      <c:catAx>
        <c:axId val="11515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1151517104"/>
        <c:crosses val="autoZero"/>
        <c:auto val="1"/>
        <c:lblAlgn val="ctr"/>
        <c:lblOffset val="100"/>
        <c:noMultiLvlLbl val="0"/>
      </c:catAx>
      <c:valAx>
        <c:axId val="1151517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crossAx val="1151515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I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19</xdr:col>
      <xdr:colOff>165100</xdr:colOff>
      <xdr:row>6</xdr:row>
      <xdr:rowOff>127000</xdr:rowOff>
    </xdr:from>
    <xdr:ext cx="1282700" cy="342900"/>
    <xdr:sp macro="" textlink="">
      <xdr:nvSpPr>
        <xdr:cNvPr id="10" name="TextBox 9">
          <a:extLst>
            <a:ext uri="{FF2B5EF4-FFF2-40B4-BE49-F238E27FC236}">
              <a16:creationId xmlns:a16="http://schemas.microsoft.com/office/drawing/2014/main" id="{3047362F-23D2-95C7-9068-589A419B4EF3}"/>
            </a:ext>
          </a:extLst>
        </xdr:cNvPr>
        <xdr:cNvSpPr txBox="1"/>
      </xdr:nvSpPr>
      <xdr:spPr>
        <a:xfrm>
          <a:off x="2641600" y="3378200"/>
          <a:ext cx="12827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xdr:col>
      <xdr:colOff>558801</xdr:colOff>
      <xdr:row>6</xdr:row>
      <xdr:rowOff>27135</xdr:rowOff>
    </xdr:from>
    <xdr:to>
      <xdr:col>11</xdr:col>
      <xdr:colOff>610205</xdr:colOff>
      <xdr:row>12</xdr:row>
      <xdr:rowOff>177800</xdr:rowOff>
    </xdr:to>
    <xdr:grpSp>
      <xdr:nvGrpSpPr>
        <xdr:cNvPr id="33" name="Group 32">
          <a:extLst>
            <a:ext uri="{FF2B5EF4-FFF2-40B4-BE49-F238E27FC236}">
              <a16:creationId xmlns:a16="http://schemas.microsoft.com/office/drawing/2014/main" id="{BA859CD7-7438-90BB-E6BF-61EDE0ADC88F}"/>
            </a:ext>
          </a:extLst>
        </xdr:cNvPr>
        <xdr:cNvGrpSpPr/>
      </xdr:nvGrpSpPr>
      <xdr:grpSpPr>
        <a:xfrm>
          <a:off x="1701801" y="1246335"/>
          <a:ext cx="12014804" cy="1395265"/>
          <a:chOff x="889001" y="1220935"/>
          <a:chExt cx="12014804" cy="1395265"/>
        </a:xfrm>
      </xdr:grpSpPr>
      <xdr:grpSp>
        <xdr:nvGrpSpPr>
          <xdr:cNvPr id="32" name="Group 31">
            <a:extLst>
              <a:ext uri="{FF2B5EF4-FFF2-40B4-BE49-F238E27FC236}">
                <a16:creationId xmlns:a16="http://schemas.microsoft.com/office/drawing/2014/main" id="{19B43E38-4E1F-1A3F-8A6F-EACC2AB386B3}"/>
              </a:ext>
            </a:extLst>
          </xdr:cNvPr>
          <xdr:cNvGrpSpPr/>
        </xdr:nvGrpSpPr>
        <xdr:grpSpPr>
          <a:xfrm>
            <a:off x="889001" y="1220935"/>
            <a:ext cx="12014804" cy="1395265"/>
            <a:chOff x="889001" y="1220935"/>
            <a:chExt cx="12014804" cy="1395265"/>
          </a:xfrm>
        </xdr:grpSpPr>
        <xdr:grpSp>
          <xdr:nvGrpSpPr>
            <xdr:cNvPr id="31" name="Group 30">
              <a:extLst>
                <a:ext uri="{FF2B5EF4-FFF2-40B4-BE49-F238E27FC236}">
                  <a16:creationId xmlns:a16="http://schemas.microsoft.com/office/drawing/2014/main" id="{AC0ED4A6-6968-7C32-FE1D-5CBF0B12AE3F}"/>
                </a:ext>
              </a:extLst>
            </xdr:cNvPr>
            <xdr:cNvGrpSpPr/>
          </xdr:nvGrpSpPr>
          <xdr:grpSpPr>
            <a:xfrm>
              <a:off x="889001" y="1220935"/>
              <a:ext cx="2199416" cy="1369865"/>
              <a:chOff x="889001" y="1220935"/>
              <a:chExt cx="2199416" cy="1369865"/>
            </a:xfrm>
          </xdr:grpSpPr>
          <xdr:sp macro="" textlink="">
            <xdr:nvSpPr>
              <xdr:cNvPr id="2" name="Rectangle 1">
                <a:extLst>
                  <a:ext uri="{FF2B5EF4-FFF2-40B4-BE49-F238E27FC236}">
                    <a16:creationId xmlns:a16="http://schemas.microsoft.com/office/drawing/2014/main" id="{EAD52074-ED5A-3703-36E1-65DC0680D0E7}"/>
                  </a:ext>
                </a:extLst>
              </xdr:cNvPr>
              <xdr:cNvSpPr/>
            </xdr:nvSpPr>
            <xdr:spPr>
              <a:xfrm>
                <a:off x="889001" y="1220935"/>
                <a:ext cx="2110517" cy="798365"/>
              </a:xfrm>
              <a:prstGeom prst="rect">
                <a:avLst/>
              </a:prstGeom>
              <a:ln>
                <a:noFill/>
              </a:ln>
              <a:effectLst>
                <a:outerShdw blurRad="50800" dist="38100" dir="9840000" algn="tr" rotWithShape="0">
                  <a:schemeClr val="tx1">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10">
            <xdr:nvSpPr>
              <xdr:cNvPr id="6" name="Rectangle 5">
                <a:extLst>
                  <a:ext uri="{FF2B5EF4-FFF2-40B4-BE49-F238E27FC236}">
                    <a16:creationId xmlns:a16="http://schemas.microsoft.com/office/drawing/2014/main" id="{AFBFBC67-0B9E-5549-87AA-49524C53660E}"/>
                  </a:ext>
                </a:extLst>
              </xdr:cNvPr>
              <xdr:cNvSpPr/>
            </xdr:nvSpPr>
            <xdr:spPr>
              <a:xfrm>
                <a:off x="977901" y="1790700"/>
                <a:ext cx="2110516" cy="800100"/>
              </a:xfrm>
              <a:prstGeom prst="rect">
                <a:avLst/>
              </a:prstGeom>
              <a:ln>
                <a:solidFill>
                  <a:schemeClr val="tx1">
                    <a:lumMod val="85000"/>
                    <a:lumOff val="15000"/>
                  </a:schemeClr>
                </a:solidFill>
              </a:ln>
              <a:effectLst>
                <a:outerShdw blurRad="541527" dist="243017" dir="13500000" sx="107000" sy="107000" algn="br" rotWithShape="0">
                  <a:schemeClr val="tx1">
                    <a:lumMod val="85000"/>
                    <a:lumOff val="15000"/>
                    <a:alpha val="47326"/>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1C0D23-4EE0-CF40-A790-6189A1C4D0E9}" type="TxLink">
                  <a:rPr lang="en-US" sz="1800" b="1" i="0" u="none" strike="noStrike">
                    <a:solidFill>
                      <a:schemeClr val="bg1"/>
                    </a:solidFill>
                    <a:latin typeface="Segoe UI" panose="020B0502040204020203" pitchFamily="34" charset="0"/>
                    <a:cs typeface="Segoe UI" panose="020B0502040204020203" pitchFamily="34" charset="0"/>
                  </a:rPr>
                  <a:t>$15.8M</a:t>
                </a:fld>
                <a:endParaRPr lang="en-US" sz="1800" b="1">
                  <a:solidFill>
                    <a:schemeClr val="bg1"/>
                  </a:solidFill>
                  <a:latin typeface="Segoe UI" panose="020B0502040204020203" pitchFamily="34" charset="0"/>
                  <a:cs typeface="Segoe UI" panose="020B0502040204020203" pitchFamily="34" charset="0"/>
                </a:endParaRPr>
              </a:p>
            </xdr:txBody>
          </xdr:sp>
        </xdr:grpSp>
        <xdr:grpSp>
          <xdr:nvGrpSpPr>
            <xdr:cNvPr id="28" name="Group 27">
              <a:extLst>
                <a:ext uri="{FF2B5EF4-FFF2-40B4-BE49-F238E27FC236}">
                  <a16:creationId xmlns:a16="http://schemas.microsoft.com/office/drawing/2014/main" id="{63BDDAD6-C01B-4F3A-E60B-951B73B6C939}"/>
                </a:ext>
              </a:extLst>
            </xdr:cNvPr>
            <xdr:cNvGrpSpPr/>
          </xdr:nvGrpSpPr>
          <xdr:grpSpPr>
            <a:xfrm>
              <a:off x="4150494" y="1244600"/>
              <a:ext cx="2200110" cy="1371600"/>
              <a:chOff x="4150494" y="1244600"/>
              <a:chExt cx="2200110" cy="1371600"/>
            </a:xfrm>
          </xdr:grpSpPr>
          <xdr:sp macro="" textlink="">
            <xdr:nvSpPr>
              <xdr:cNvPr id="3" name="Rectangle 2">
                <a:extLst>
                  <a:ext uri="{FF2B5EF4-FFF2-40B4-BE49-F238E27FC236}">
                    <a16:creationId xmlns:a16="http://schemas.microsoft.com/office/drawing/2014/main" id="{B42F72DE-DDF9-CE46-9F04-D48F9F09FDF6}"/>
                  </a:ext>
                </a:extLst>
              </xdr:cNvPr>
              <xdr:cNvSpPr/>
            </xdr:nvSpPr>
            <xdr:spPr>
              <a:xfrm>
                <a:off x="4150494" y="1244600"/>
                <a:ext cx="2111210" cy="800100"/>
              </a:xfrm>
              <a:prstGeom prst="rect">
                <a:avLst/>
              </a:prstGeom>
              <a:ln>
                <a:noFill/>
              </a:ln>
              <a:effectLst>
                <a:outerShdw blurRad="50800" dist="38100" dir="9840000" algn="tr" rotWithShape="0">
                  <a:schemeClr val="tx1">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E$12">
            <xdr:nvSpPr>
              <xdr:cNvPr id="7" name="Rectangle 6">
                <a:extLst>
                  <a:ext uri="{FF2B5EF4-FFF2-40B4-BE49-F238E27FC236}">
                    <a16:creationId xmlns:a16="http://schemas.microsoft.com/office/drawing/2014/main" id="{4FA72BD0-370E-564C-82D9-A3184AC05031}"/>
                  </a:ext>
                </a:extLst>
              </xdr:cNvPr>
              <xdr:cNvSpPr/>
            </xdr:nvSpPr>
            <xdr:spPr>
              <a:xfrm>
                <a:off x="4239394" y="1816100"/>
                <a:ext cx="2111210" cy="800100"/>
              </a:xfrm>
              <a:prstGeom prst="rect">
                <a:avLst/>
              </a:prstGeom>
              <a:ln>
                <a:solidFill>
                  <a:schemeClr val="tx1">
                    <a:lumMod val="85000"/>
                    <a:lumOff val="15000"/>
                  </a:schemeClr>
                </a:solidFill>
              </a:ln>
              <a:effectLst>
                <a:outerShdw blurRad="541527" dist="243017" dir="13500000" sx="107000" sy="107000" algn="br" rotWithShape="0">
                  <a:schemeClr val="tx1">
                    <a:lumMod val="85000"/>
                    <a:lumOff val="15000"/>
                    <a:alpha val="47326"/>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E89DAF-2FF6-384D-B100-DA26BD4AB99C}" type="TxLink">
                  <a:rPr lang="en-US" sz="1800" b="1" i="0" u="none" strike="noStrike">
                    <a:solidFill>
                      <a:schemeClr val="bg1"/>
                    </a:solidFill>
                    <a:latin typeface="Segoe UI" panose="020B0502040204020203" pitchFamily="34" charset="0"/>
                    <a:cs typeface="Segoe UI" panose="020B0502040204020203" pitchFamily="34" charset="0"/>
                  </a:rPr>
                  <a:t>99.2K</a:t>
                </a:fld>
                <a:endParaRPr lang="en-US" sz="1800" b="1">
                  <a:solidFill>
                    <a:schemeClr val="bg1"/>
                  </a:solidFill>
                  <a:latin typeface="Segoe UI" panose="020B0502040204020203" pitchFamily="34" charset="0"/>
                  <a:cs typeface="Segoe UI" panose="020B0502040204020203" pitchFamily="34" charset="0"/>
                </a:endParaRPr>
              </a:p>
            </xdr:txBody>
          </xdr:sp>
        </xdr:grpSp>
        <xdr:grpSp>
          <xdr:nvGrpSpPr>
            <xdr:cNvPr id="27" name="Group 26">
              <a:extLst>
                <a:ext uri="{FF2B5EF4-FFF2-40B4-BE49-F238E27FC236}">
                  <a16:creationId xmlns:a16="http://schemas.microsoft.com/office/drawing/2014/main" id="{C1CA85BF-0272-EEA6-74DC-DDEF56BBFFFF}"/>
                </a:ext>
              </a:extLst>
            </xdr:cNvPr>
            <xdr:cNvGrpSpPr/>
          </xdr:nvGrpSpPr>
          <xdr:grpSpPr>
            <a:xfrm>
              <a:off x="7431579" y="1220935"/>
              <a:ext cx="2208326" cy="1369865"/>
              <a:chOff x="7431579" y="1220935"/>
              <a:chExt cx="2208326" cy="1369865"/>
            </a:xfrm>
          </xdr:grpSpPr>
          <xdr:sp macro="" textlink="">
            <xdr:nvSpPr>
              <xdr:cNvPr id="4" name="Rectangle 3">
                <a:extLst>
                  <a:ext uri="{FF2B5EF4-FFF2-40B4-BE49-F238E27FC236}">
                    <a16:creationId xmlns:a16="http://schemas.microsoft.com/office/drawing/2014/main" id="{BFF06ABA-1B37-BE4C-AE2D-A20A8AEB7865}"/>
                  </a:ext>
                </a:extLst>
              </xdr:cNvPr>
              <xdr:cNvSpPr/>
            </xdr:nvSpPr>
            <xdr:spPr>
              <a:xfrm>
                <a:off x="7431579" y="1220935"/>
                <a:ext cx="2119426" cy="798365"/>
              </a:xfrm>
              <a:prstGeom prst="rect">
                <a:avLst/>
              </a:prstGeom>
              <a:ln>
                <a:noFill/>
              </a:ln>
              <a:effectLst>
                <a:outerShdw blurRad="50800" dist="38100" dir="9840000" algn="tr" rotWithShape="0">
                  <a:schemeClr val="tx1">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I$11">
            <xdr:nvSpPr>
              <xdr:cNvPr id="8" name="Rectangle 7">
                <a:extLst>
                  <a:ext uri="{FF2B5EF4-FFF2-40B4-BE49-F238E27FC236}">
                    <a16:creationId xmlns:a16="http://schemas.microsoft.com/office/drawing/2014/main" id="{871EA6C1-7806-254A-8B13-9229382766ED}"/>
                  </a:ext>
                </a:extLst>
              </xdr:cNvPr>
              <xdr:cNvSpPr/>
            </xdr:nvSpPr>
            <xdr:spPr>
              <a:xfrm>
                <a:off x="7520479" y="1790700"/>
                <a:ext cx="2119426" cy="800100"/>
              </a:xfrm>
              <a:prstGeom prst="rect">
                <a:avLst/>
              </a:prstGeom>
              <a:ln>
                <a:solidFill>
                  <a:schemeClr val="tx1">
                    <a:lumMod val="85000"/>
                    <a:lumOff val="15000"/>
                  </a:schemeClr>
                </a:solidFill>
              </a:ln>
              <a:effectLst>
                <a:outerShdw blurRad="541527" dist="243017" dir="13500000" sx="107000" sy="107000" algn="br" rotWithShape="0">
                  <a:schemeClr val="tx1">
                    <a:lumMod val="85000"/>
                    <a:lumOff val="15000"/>
                    <a:alpha val="47326"/>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DEC119-FDB5-3445-A0A5-76475154CFF0}" type="TxLink">
                  <a:rPr lang="en-US" sz="1800" b="1" i="0" u="none" strike="noStrike">
                    <a:solidFill>
                      <a:schemeClr val="bg1"/>
                    </a:solidFill>
                    <a:latin typeface="Segoe UI" panose="020B0502040204020203" pitchFamily="34" charset="0"/>
                    <a:cs typeface="Segoe UI" panose="020B0502040204020203" pitchFamily="34" charset="0"/>
                  </a:rPr>
                  <a:t>4.1</a:t>
                </a:fld>
                <a:endParaRPr lang="en-US" sz="1800" b="1">
                  <a:solidFill>
                    <a:schemeClr val="bg1"/>
                  </a:solidFill>
                  <a:latin typeface="Segoe UI" panose="020B0502040204020203" pitchFamily="34" charset="0"/>
                  <a:cs typeface="Segoe UI" panose="020B0502040204020203" pitchFamily="34" charset="0"/>
                </a:endParaRPr>
              </a:p>
            </xdr:txBody>
          </xdr:sp>
        </xdr:grpSp>
        <xdr:grpSp>
          <xdr:nvGrpSpPr>
            <xdr:cNvPr id="26" name="Group 25">
              <a:extLst>
                <a:ext uri="{FF2B5EF4-FFF2-40B4-BE49-F238E27FC236}">
                  <a16:creationId xmlns:a16="http://schemas.microsoft.com/office/drawing/2014/main" id="{5FE6763A-5BC9-66C6-164B-4288EB0384BD}"/>
                </a:ext>
              </a:extLst>
            </xdr:cNvPr>
            <xdr:cNvGrpSpPr/>
          </xdr:nvGrpSpPr>
          <xdr:grpSpPr>
            <a:xfrm>
              <a:off x="10695480" y="1220935"/>
              <a:ext cx="2208325" cy="1369865"/>
              <a:chOff x="10695480" y="1220935"/>
              <a:chExt cx="2208325" cy="1369865"/>
            </a:xfrm>
          </xdr:grpSpPr>
          <xdr:sp macro="" textlink="">
            <xdr:nvSpPr>
              <xdr:cNvPr id="5" name="Rectangle 4">
                <a:extLst>
                  <a:ext uri="{FF2B5EF4-FFF2-40B4-BE49-F238E27FC236}">
                    <a16:creationId xmlns:a16="http://schemas.microsoft.com/office/drawing/2014/main" id="{CE664482-5463-8F42-B6AC-FAF8FE2DBA48}"/>
                  </a:ext>
                </a:extLst>
              </xdr:cNvPr>
              <xdr:cNvSpPr/>
            </xdr:nvSpPr>
            <xdr:spPr>
              <a:xfrm>
                <a:off x="10695480" y="1220935"/>
                <a:ext cx="2119425" cy="798365"/>
              </a:xfrm>
              <a:prstGeom prst="rect">
                <a:avLst/>
              </a:prstGeom>
              <a:ln>
                <a:noFill/>
              </a:ln>
              <a:effectLst>
                <a:outerShdw blurRad="50800" dist="38100" dir="9840000" algn="tr" rotWithShape="0">
                  <a:schemeClr val="tx1">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Category_Analytics!L86">
            <xdr:nvSpPr>
              <xdr:cNvPr id="9" name="Rectangle 8">
                <a:extLst>
                  <a:ext uri="{FF2B5EF4-FFF2-40B4-BE49-F238E27FC236}">
                    <a16:creationId xmlns:a16="http://schemas.microsoft.com/office/drawing/2014/main" id="{28536994-5D2D-044B-8E44-0925B26BD1E2}"/>
                  </a:ext>
                </a:extLst>
              </xdr:cNvPr>
              <xdr:cNvSpPr/>
            </xdr:nvSpPr>
            <xdr:spPr>
              <a:xfrm>
                <a:off x="10784380" y="1790700"/>
                <a:ext cx="2119425" cy="800100"/>
              </a:xfrm>
              <a:prstGeom prst="rect">
                <a:avLst/>
              </a:prstGeom>
              <a:ln>
                <a:solidFill>
                  <a:schemeClr val="tx1">
                    <a:lumMod val="85000"/>
                    <a:lumOff val="15000"/>
                  </a:schemeClr>
                </a:solidFill>
              </a:ln>
              <a:effectLst>
                <a:outerShdw blurRad="541527" dist="243017" dir="13500000" sx="107000" sy="107000" algn="br" rotWithShape="0">
                  <a:schemeClr val="tx1">
                    <a:lumMod val="85000"/>
                    <a:lumOff val="15000"/>
                    <a:alpha val="47326"/>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250886-5727-B54D-A2BA-DB43EDD5EF39}" type="TxLink">
                  <a:rPr lang="en-US" sz="1800" b="1" i="0" u="none" strike="noStrike">
                    <a:solidFill>
                      <a:schemeClr val="bg1"/>
                    </a:solidFill>
                    <a:latin typeface="Segoe UI" panose="020B0502040204020203" pitchFamily="34" charset="0"/>
                    <a:cs typeface="Segoe UI" panose="020B0502040204020203" pitchFamily="34" charset="0"/>
                  </a:rPr>
                  <a:pPr algn="ctr"/>
                  <a:t>6.3%</a:t>
                </a:fld>
                <a:endParaRPr lang="en-US" sz="1800" b="1">
                  <a:solidFill>
                    <a:schemeClr val="bg1"/>
                  </a:solidFill>
                  <a:latin typeface="Segoe UI" panose="020B0502040204020203" pitchFamily="34" charset="0"/>
                  <a:cs typeface="Segoe UI" panose="020B0502040204020203" pitchFamily="34" charset="0"/>
                </a:endParaRPr>
              </a:p>
            </xdr:txBody>
          </xdr:sp>
        </xdr:grpSp>
        <xdr:sp macro="" textlink="">
          <xdr:nvSpPr>
            <xdr:cNvPr id="3073" name="Text Box 1">
              <a:extLst>
                <a:ext uri="{FF2B5EF4-FFF2-40B4-BE49-F238E27FC236}">
                  <a16:creationId xmlns:a16="http://schemas.microsoft.com/office/drawing/2014/main" id="{3C20A8CB-5DC9-1A45-8117-E6CA95AC0D5B}"/>
                </a:ext>
              </a:extLst>
            </xdr:cNvPr>
            <xdr:cNvSpPr txBox="1">
              <a:spLocks noChangeArrowheads="1"/>
            </xdr:cNvSpPr>
          </xdr:nvSpPr>
          <xdr:spPr bwMode="auto">
            <a:xfrm>
              <a:off x="1168399" y="1333500"/>
              <a:ext cx="1712503" cy="368300"/>
            </a:xfrm>
            <a:prstGeom prst="rect">
              <a:avLst/>
            </a:prstGeom>
            <a:solidFill>
              <a:schemeClr val="bg1">
                <a:alpha val="0"/>
              </a:schemeClr>
            </a:solidFill>
            <a:ln w="9525">
              <a:noFill/>
              <a:miter lim="800000"/>
              <a:headEnd/>
              <a:tailEnd/>
            </a:ln>
          </xdr:spPr>
          <xdr:txBody>
            <a:bodyPr vertOverflow="clip" wrap="square" lIns="27432" tIns="22860" rIns="0" bIns="0" anchor="ctr" upright="1"/>
            <a:lstStyle/>
            <a:p>
              <a:pPr algn="ctr" rtl="0">
                <a:defRPr sz="1000"/>
              </a:pPr>
              <a:r>
                <a:rPr lang="en-US" sz="1600" b="1" i="0" u="none" strike="noStrike" baseline="0">
                  <a:solidFill>
                    <a:schemeClr val="bg1"/>
                  </a:solidFill>
                  <a:latin typeface="Segoe UI Semibold" panose="020B0502040204020203" pitchFamily="34" charset="0"/>
                  <a:cs typeface="Segoe UI Semibold" panose="020B0502040204020203" pitchFamily="34" charset="0"/>
                </a:rPr>
                <a:t>Total Revenue ($)</a:t>
              </a:r>
            </a:p>
          </xdr:txBody>
        </xdr:sp>
      </xdr:grpSp>
      <xdr:sp macro="" textlink="">
        <xdr:nvSpPr>
          <xdr:cNvPr id="12" name="Text Box 1">
            <a:extLst>
              <a:ext uri="{FF2B5EF4-FFF2-40B4-BE49-F238E27FC236}">
                <a16:creationId xmlns:a16="http://schemas.microsoft.com/office/drawing/2014/main" id="{240678CB-B9BB-594F-962F-A39A0B373992}"/>
              </a:ext>
            </a:extLst>
          </xdr:cNvPr>
          <xdr:cNvSpPr txBox="1">
            <a:spLocks noChangeArrowheads="1"/>
          </xdr:cNvSpPr>
        </xdr:nvSpPr>
        <xdr:spPr bwMode="auto">
          <a:xfrm>
            <a:off x="4466771" y="1384300"/>
            <a:ext cx="1472116" cy="368300"/>
          </a:xfrm>
          <a:prstGeom prst="rect">
            <a:avLst/>
          </a:prstGeom>
          <a:solidFill>
            <a:schemeClr val="bg1">
              <a:alpha val="0"/>
            </a:schemeClr>
          </a:solidFill>
          <a:ln w="9525">
            <a:noFill/>
            <a:miter lim="800000"/>
            <a:headEnd/>
            <a:tailEnd/>
          </a:ln>
        </xdr:spPr>
        <xdr:txBody>
          <a:bodyPr vertOverflow="clip" wrap="square" lIns="27432" tIns="22860" rIns="0" bIns="0" anchor="ctr" upright="1"/>
          <a:lstStyle/>
          <a:p>
            <a:pPr algn="ctr" rtl="0">
              <a:defRPr sz="1000"/>
            </a:pPr>
            <a:r>
              <a:rPr lang="en-US" sz="1400" b="1" i="0" u="none" strike="noStrike" baseline="0">
                <a:solidFill>
                  <a:schemeClr val="bg1"/>
                </a:solidFill>
                <a:latin typeface="Segoe UI Semibold" panose="020B0502040204020203" pitchFamily="34" charset="0"/>
                <a:cs typeface="Segoe UI Semibold" panose="020B0502040204020203" pitchFamily="34" charset="0"/>
              </a:rPr>
              <a:t>Total Orders</a:t>
            </a:r>
          </a:p>
        </xdr:txBody>
      </xdr:sp>
      <xdr:sp macro="" textlink="">
        <xdr:nvSpPr>
          <xdr:cNvPr id="13" name="Text Box 1">
            <a:extLst>
              <a:ext uri="{FF2B5EF4-FFF2-40B4-BE49-F238E27FC236}">
                <a16:creationId xmlns:a16="http://schemas.microsoft.com/office/drawing/2014/main" id="{58593142-2060-F745-B1B4-BA389A3729F6}"/>
              </a:ext>
            </a:extLst>
          </xdr:cNvPr>
          <xdr:cNvSpPr txBox="1">
            <a:spLocks noChangeArrowheads="1"/>
          </xdr:cNvSpPr>
        </xdr:nvSpPr>
        <xdr:spPr bwMode="auto">
          <a:xfrm>
            <a:off x="7363207" y="1322238"/>
            <a:ext cx="2345504" cy="368300"/>
          </a:xfrm>
          <a:prstGeom prst="rect">
            <a:avLst/>
          </a:prstGeom>
          <a:solidFill>
            <a:schemeClr val="bg1">
              <a:alpha val="0"/>
            </a:schemeClr>
          </a:solidFill>
          <a:ln w="9525">
            <a:noFill/>
            <a:miter lim="800000"/>
            <a:headEnd/>
            <a:tailEnd/>
          </a:ln>
        </xdr:spPr>
        <xdr:txBody>
          <a:bodyPr vertOverflow="clip" wrap="square" lIns="27432" tIns="22860" rIns="0" bIns="0" anchor="ctr" upright="1"/>
          <a:lstStyle/>
          <a:p>
            <a:pPr algn="ctr" rtl="0">
              <a:defRPr sz="1000"/>
            </a:pPr>
            <a:r>
              <a:rPr lang="en-US" sz="1400" b="1" i="0" u="none" strike="noStrike" baseline="0">
                <a:solidFill>
                  <a:schemeClr val="bg1"/>
                </a:solidFill>
                <a:latin typeface="Segoe UI Semibold" panose="020B0502040204020203" pitchFamily="34" charset="0"/>
                <a:cs typeface="Segoe UI Semibold" panose="020B0502040204020203" pitchFamily="34" charset="0"/>
              </a:rPr>
              <a:t>Avg Review Score 0f 5</a:t>
            </a:r>
          </a:p>
        </xdr:txBody>
      </xdr:sp>
      <xdr:sp macro="" textlink="">
        <xdr:nvSpPr>
          <xdr:cNvPr id="14" name="Text Box 1">
            <a:extLst>
              <a:ext uri="{FF2B5EF4-FFF2-40B4-BE49-F238E27FC236}">
                <a16:creationId xmlns:a16="http://schemas.microsoft.com/office/drawing/2014/main" id="{D5C1063E-5DFC-FB40-8414-2D3C2A53928D}"/>
              </a:ext>
            </a:extLst>
          </xdr:cNvPr>
          <xdr:cNvSpPr txBox="1">
            <a:spLocks noChangeArrowheads="1"/>
          </xdr:cNvSpPr>
        </xdr:nvSpPr>
        <xdr:spPr bwMode="auto">
          <a:xfrm>
            <a:off x="10831570" y="1342507"/>
            <a:ext cx="1892905" cy="368300"/>
          </a:xfrm>
          <a:prstGeom prst="rect">
            <a:avLst/>
          </a:prstGeom>
          <a:solidFill>
            <a:schemeClr val="bg1">
              <a:alpha val="0"/>
            </a:schemeClr>
          </a:solidFill>
          <a:ln w="9525">
            <a:noFill/>
            <a:miter lim="800000"/>
            <a:headEnd/>
            <a:tailEnd/>
          </a:ln>
        </xdr:spPr>
        <xdr:txBody>
          <a:bodyPr vertOverflow="clip" wrap="square" lIns="27432" tIns="22860" rIns="0" bIns="0" anchor="ctr" upright="1"/>
          <a:lstStyle/>
          <a:p>
            <a:pPr algn="ctr" rtl="0">
              <a:defRPr sz="1000"/>
            </a:pPr>
            <a:r>
              <a:rPr lang="en-US" sz="1400" b="1" i="0" u="none" strike="noStrike" baseline="0">
                <a:solidFill>
                  <a:schemeClr val="bg1"/>
                </a:solidFill>
                <a:latin typeface="Segoe UI Semibold" panose="020B0502040204020203" pitchFamily="34" charset="0"/>
                <a:cs typeface="Segoe UI Semibold" panose="020B0502040204020203" pitchFamily="34" charset="0"/>
              </a:rPr>
              <a:t>Avg Late Delivery Rate</a:t>
            </a:r>
          </a:p>
        </xdr:txBody>
      </xdr:sp>
    </xdr:grpSp>
    <xdr:clientData/>
  </xdr:twoCellAnchor>
  <xdr:twoCellAnchor editAs="absolute">
    <xdr:from>
      <xdr:col>1</xdr:col>
      <xdr:colOff>347920</xdr:colOff>
      <xdr:row>16</xdr:row>
      <xdr:rowOff>25401</xdr:rowOff>
    </xdr:from>
    <xdr:to>
      <xdr:col>5</xdr:col>
      <xdr:colOff>660400</xdr:colOff>
      <xdr:row>33</xdr:row>
      <xdr:rowOff>38397</xdr:rowOff>
    </xdr:to>
    <xdr:graphicFrame macro="">
      <xdr:nvGraphicFramePr>
        <xdr:cNvPr id="18" name="Chart 17">
          <a:extLst>
            <a:ext uri="{FF2B5EF4-FFF2-40B4-BE49-F238E27FC236}">
              <a16:creationId xmlns:a16="http://schemas.microsoft.com/office/drawing/2014/main" id="{AF7DA4A7-4430-F0F2-D2B7-E4999CCD6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434377</xdr:colOff>
      <xdr:row>39</xdr:row>
      <xdr:rowOff>9202</xdr:rowOff>
    </xdr:from>
    <xdr:to>
      <xdr:col>6</xdr:col>
      <xdr:colOff>168889</xdr:colOff>
      <xdr:row>62</xdr:row>
      <xdr:rowOff>69477</xdr:rowOff>
    </xdr:to>
    <xdr:graphicFrame macro="">
      <xdr:nvGraphicFramePr>
        <xdr:cNvPr id="19" name="Chart 18">
          <a:extLst>
            <a:ext uri="{FF2B5EF4-FFF2-40B4-BE49-F238E27FC236}">
              <a16:creationId xmlns:a16="http://schemas.microsoft.com/office/drawing/2014/main" id="{B562F2B9-4557-2AE9-FE85-293810587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195075</xdr:colOff>
      <xdr:row>33</xdr:row>
      <xdr:rowOff>142330</xdr:rowOff>
    </xdr:from>
    <xdr:to>
      <xdr:col>4</xdr:col>
      <xdr:colOff>1296199</xdr:colOff>
      <xdr:row>36</xdr:row>
      <xdr:rowOff>71886</xdr:rowOff>
    </xdr:to>
    <xdr:sp macro="" textlink="">
      <xdr:nvSpPr>
        <xdr:cNvPr id="20" name="TextBox 19">
          <a:extLst>
            <a:ext uri="{FF2B5EF4-FFF2-40B4-BE49-F238E27FC236}">
              <a16:creationId xmlns:a16="http://schemas.microsoft.com/office/drawing/2014/main" id="{FE0FD734-21D0-8BD7-89B7-7D301AF5E821}"/>
            </a:ext>
          </a:extLst>
        </xdr:cNvPr>
        <xdr:cNvSpPr txBox="1"/>
      </xdr:nvSpPr>
      <xdr:spPr>
        <a:xfrm>
          <a:off x="1322579" y="6763902"/>
          <a:ext cx="4876459" cy="528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solidFill>
              <a:effectLst/>
              <a:latin typeface="+mn-lt"/>
              <a:ea typeface="+mn-ea"/>
              <a:cs typeface="+mn-cs"/>
            </a:rPr>
            <a:t>Insight:</a:t>
          </a:r>
          <a:r>
            <a:rPr lang="en-US" sz="1100" b="0" i="0" u="none" strike="noStrike">
              <a:solidFill>
                <a:schemeClr val="tx1"/>
              </a:solidFill>
              <a:effectLst/>
              <a:latin typeface="+mn-lt"/>
              <a:ea typeface="+mn-ea"/>
              <a:cs typeface="+mn-cs"/>
            </a:rPr>
            <a:t> Revenue growth through mid-year aligns with rising order volume, suggesting demand-driven performance rather than price inflation.</a:t>
          </a:r>
          <a:r>
            <a:rPr lang="en-US">
              <a:effectLst/>
            </a:rPr>
            <a:t> </a:t>
          </a:r>
        </a:p>
      </xdr:txBody>
    </xdr:sp>
    <xdr:clientData/>
  </xdr:twoCellAnchor>
  <xdr:twoCellAnchor editAs="absolute">
    <xdr:from>
      <xdr:col>6</xdr:col>
      <xdr:colOff>805226</xdr:colOff>
      <xdr:row>39</xdr:row>
      <xdr:rowOff>69961</xdr:rowOff>
    </xdr:from>
    <xdr:to>
      <xdr:col>12</xdr:col>
      <xdr:colOff>47682</xdr:colOff>
      <xdr:row>62</xdr:row>
      <xdr:rowOff>25400</xdr:rowOff>
    </xdr:to>
    <xdr:graphicFrame macro="">
      <xdr:nvGraphicFramePr>
        <xdr:cNvPr id="23" name="Chart 22">
          <a:extLst>
            <a:ext uri="{FF2B5EF4-FFF2-40B4-BE49-F238E27FC236}">
              <a16:creationId xmlns:a16="http://schemas.microsoft.com/office/drawing/2014/main" id="{DE6B4949-D085-A148-B558-86831CEC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534412</xdr:colOff>
      <xdr:row>34</xdr:row>
      <xdr:rowOff>2638</xdr:rowOff>
    </xdr:from>
    <xdr:to>
      <xdr:col>10</xdr:col>
      <xdr:colOff>1340998</xdr:colOff>
      <xdr:row>35</xdr:row>
      <xdr:rowOff>64875</xdr:rowOff>
    </xdr:to>
    <xdr:sp macro="" textlink="">
      <xdr:nvSpPr>
        <xdr:cNvPr id="24" name="TextBox 23">
          <a:extLst>
            <a:ext uri="{FF2B5EF4-FFF2-40B4-BE49-F238E27FC236}">
              <a16:creationId xmlns:a16="http://schemas.microsoft.com/office/drawing/2014/main" id="{9C283213-E379-C741-99D1-9004CF1A7648}"/>
            </a:ext>
          </a:extLst>
        </xdr:cNvPr>
        <xdr:cNvSpPr txBox="1"/>
      </xdr:nvSpPr>
      <xdr:spPr>
        <a:xfrm>
          <a:off x="7844660" y="6821258"/>
          <a:ext cx="48689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tx1"/>
              </a:solidFill>
              <a:effectLst/>
              <a:latin typeface="+mn-lt"/>
              <a:ea typeface="+mn-ea"/>
              <a:cs typeface="+mn-cs"/>
            </a:rPr>
            <a:t>Insight:</a:t>
          </a:r>
          <a:r>
            <a:rPr lang="en-US" sz="1100" b="0" i="0" u="none" strike="noStrike">
              <a:solidFill>
                <a:schemeClr val="tx1"/>
              </a:solidFill>
              <a:effectLst/>
              <a:latin typeface="+mn-lt"/>
              <a:ea typeface="+mn-ea"/>
              <a:cs typeface="+mn-cs"/>
            </a:rPr>
            <a:t> </a:t>
          </a:r>
          <a:r>
            <a:rPr lang="en-US" sz="1100">
              <a:solidFill>
                <a:schemeClr val="tx1"/>
              </a:solidFill>
              <a:effectLst/>
              <a:latin typeface="+mn-lt"/>
              <a:ea typeface="+mn-ea"/>
              <a:cs typeface="+mn-cs"/>
            </a:rPr>
            <a:t>Operations deteriorate during demand spikes, especially in November.</a:t>
          </a:r>
          <a:endParaRPr lang="en-US">
            <a:effectLst/>
          </a:endParaRPr>
        </a:p>
      </xdr:txBody>
    </xdr:sp>
    <xdr:clientData/>
  </xdr:twoCellAnchor>
  <xdr:twoCellAnchor>
    <xdr:from>
      <xdr:col>6</xdr:col>
      <xdr:colOff>736600</xdr:colOff>
      <xdr:row>16</xdr:row>
      <xdr:rowOff>50801</xdr:rowOff>
    </xdr:from>
    <xdr:to>
      <xdr:col>12</xdr:col>
      <xdr:colOff>32084</xdr:colOff>
      <xdr:row>33</xdr:row>
      <xdr:rowOff>51247</xdr:rowOff>
    </xdr:to>
    <xdr:graphicFrame macro="">
      <xdr:nvGraphicFramePr>
        <xdr:cNvPr id="25" name="Chart 24">
          <a:extLst>
            <a:ext uri="{FF2B5EF4-FFF2-40B4-BE49-F238E27FC236}">
              <a16:creationId xmlns:a16="http://schemas.microsoft.com/office/drawing/2014/main" id="{0902CF4E-95D0-B640-AD71-B9BEE682A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204108</xdr:colOff>
      <xdr:row>2</xdr:row>
      <xdr:rowOff>22679</xdr:rowOff>
    </xdr:from>
    <xdr:to>
      <xdr:col>14</xdr:col>
      <xdr:colOff>482600</xdr:colOff>
      <xdr:row>67</xdr:row>
      <xdr:rowOff>68036</xdr:rowOff>
    </xdr:to>
    <xdr:sp macro="" textlink="">
      <xdr:nvSpPr>
        <xdr:cNvPr id="29" name="Rectangle 28">
          <a:extLst>
            <a:ext uri="{FF2B5EF4-FFF2-40B4-BE49-F238E27FC236}">
              <a16:creationId xmlns:a16="http://schemas.microsoft.com/office/drawing/2014/main" id="{06C06338-DA22-9D80-E8FC-C0E8DF4ABA60}"/>
            </a:ext>
          </a:extLst>
        </xdr:cNvPr>
        <xdr:cNvSpPr/>
      </xdr:nvSpPr>
      <xdr:spPr>
        <a:xfrm>
          <a:off x="204108" y="429079"/>
          <a:ext cx="17093292" cy="13278757"/>
        </a:xfrm>
        <a:prstGeom prst="rect">
          <a:avLst/>
        </a:prstGeom>
        <a:noFill/>
        <a:ln w="107950">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0</xdr:colOff>
      <xdr:row>63</xdr:row>
      <xdr:rowOff>563</xdr:rowOff>
    </xdr:from>
    <xdr:to>
      <xdr:col>12</xdr:col>
      <xdr:colOff>736600</xdr:colOff>
      <xdr:row>66</xdr:row>
      <xdr:rowOff>177800</xdr:rowOff>
    </xdr:to>
    <xdr:sp macro="" textlink="">
      <xdr:nvSpPr>
        <xdr:cNvPr id="30" name="TextBox 29">
          <a:extLst>
            <a:ext uri="{FF2B5EF4-FFF2-40B4-BE49-F238E27FC236}">
              <a16:creationId xmlns:a16="http://schemas.microsoft.com/office/drawing/2014/main" id="{E7EE14EF-26DE-3744-AF6E-B4A392B4B4E9}"/>
            </a:ext>
          </a:extLst>
        </xdr:cNvPr>
        <xdr:cNvSpPr txBox="1"/>
      </xdr:nvSpPr>
      <xdr:spPr>
        <a:xfrm>
          <a:off x="2235200" y="12814863"/>
          <a:ext cx="12446000" cy="799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 Data Quality Insight:</a:t>
          </a:r>
          <a:br>
            <a:rPr lang="en-US" sz="1100" b="0" i="0" u="none" strike="noStrike">
              <a:solidFill>
                <a:schemeClr val="tx1"/>
              </a:solidFill>
              <a:effectLst/>
              <a:latin typeface="+mn-lt"/>
              <a:ea typeface="+mn-ea"/>
              <a:cs typeface="+mn-cs"/>
            </a:rPr>
          </a:br>
          <a:r>
            <a:rPr lang="en-US" sz="1100" b="0" i="0" u="none" strike="noStrike">
              <a:solidFill>
                <a:schemeClr val="tx1"/>
              </a:solidFill>
              <a:effectLst/>
              <a:latin typeface="+mn-lt"/>
              <a:ea typeface="+mn-ea"/>
              <a:cs typeface="+mn-cs"/>
            </a:rPr>
            <a:t>Around X% of total revenue is associated with products lacking category mapping (“Unknown”). These were excluded from the visualizations to maintain category clarity, but included in total revenue KPIs.</a:t>
          </a:r>
          <a:r>
            <a:rPr lang="en-US">
              <a:effectLst/>
            </a:rPr>
            <a:t> </a:t>
          </a:r>
        </a:p>
      </xdr:txBody>
    </xdr:sp>
    <xdr:clientData/>
  </xdr:twoCellAnchor>
  <xdr:twoCellAnchor editAs="oneCell">
    <xdr:from>
      <xdr:col>12</xdr:col>
      <xdr:colOff>838200</xdr:colOff>
      <xdr:row>15</xdr:row>
      <xdr:rowOff>190500</xdr:rowOff>
    </xdr:from>
    <xdr:to>
      <xdr:col>13</xdr:col>
      <xdr:colOff>647700</xdr:colOff>
      <xdr:row>22</xdr:row>
      <xdr:rowOff>152400</xdr:rowOff>
    </xdr:to>
    <mc:AlternateContent xmlns:mc="http://schemas.openxmlformats.org/markup-compatibility/2006">
      <mc:Choice xmlns:a14="http://schemas.microsoft.com/office/drawing/2010/main" Requires="a14">
        <xdr:graphicFrame macro="">
          <xdr:nvGraphicFramePr>
            <xdr:cNvPr id="38" name="year">
              <a:extLst>
                <a:ext uri="{FF2B5EF4-FFF2-40B4-BE49-F238E27FC236}">
                  <a16:creationId xmlns:a16="http://schemas.microsoft.com/office/drawing/2014/main" id="{353B00DE-BEDD-1DC5-DC47-9918B3019C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782800" y="3263900"/>
              <a:ext cx="18415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aleh Riahi" refreshedDate="46005.995353587961" createdVersion="8" refreshedVersion="8" minRefreshableVersion="3" recordCount="1237" xr:uid="{C49313B0-D245-1748-84B1-89C16E849524}">
  <cacheSource type="worksheet">
    <worksheetSource name="category_monthly_metrics__2"/>
  </cacheSource>
  <cacheFields count="12">
    <cacheField name="year" numFmtId="0">
      <sharedItems containsSemiMixedTypes="0" containsString="0" containsNumber="1" containsInteger="1" minValue="2016" maxValue="2018" count="3">
        <n v="2017"/>
        <n v="2018"/>
        <n v="2016" u="1"/>
      </sharedItems>
    </cacheField>
    <cacheField name="year_month" numFmtId="14">
      <sharedItems containsSemiMixedTypes="0" containsNonDate="0" containsDate="1" containsString="0" minDate="2016-10-01T00:00:00" maxDate="2018-08-02T00:00:00" count="21">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6-10-01T00:00:00" u="1"/>
      </sharedItems>
      <fieldGroup par="11"/>
    </cacheField>
    <cacheField name="product_category_name_english" numFmtId="0">
      <sharedItems count="72">
        <s v="watches_gifts"/>
        <s v="Unknown"/>
        <s v="toys"/>
        <s v="telephony"/>
        <s v="tablets_printing_image"/>
        <s v="stationery"/>
        <s v="sports_leisure"/>
        <s v="small_appliances_home_oven_and_coffee"/>
        <s v="small_appliances"/>
        <s v="signaling_and_security"/>
        <s v="security_and_services"/>
        <s v="pet_shop"/>
        <s v="perfumery"/>
        <s v="party_supplies"/>
        <s v="office_furniture"/>
        <s v="musical_instruments"/>
        <s v="music"/>
        <s v="market_place"/>
        <s v="luggage_accessories"/>
        <s v="la_cuisine"/>
        <s v="kitchen_dining_laundry_garden_furniture"/>
        <s v="industry_commerce_and_business"/>
        <s v="housewares"/>
        <s v="home_construction"/>
        <s v="home_confort"/>
        <s v="home_comfort_2"/>
        <s v="home_appliances_2"/>
        <s v="home_appliances"/>
        <s v="health_beauty"/>
        <s v="garden_tools"/>
        <s v="furniture_mattress_and_upholstery"/>
        <s v="furniture_living_room"/>
        <s v="furniture_decor"/>
        <s v="furniture_bedroom"/>
        <s v="food_drink"/>
        <s v="food"/>
        <s v="flowers"/>
        <s v="fixed_telephony"/>
        <s v="fashion_underwear_beach"/>
        <s v="fashion_sport"/>
        <s v="fashion_shoes"/>
        <s v="fashion_male_clothing"/>
        <s v="fashion_childrens_clothes"/>
        <s v="fashion_bags_accessories"/>
        <s v="fashio_female_clothing"/>
        <s v="electronics"/>
        <s v="dvds_blu_ray"/>
        <s v="drinks"/>
        <s v="diapers_and_hygiene"/>
        <s v="costruction_tools_tools"/>
        <s v="costruction_tools_garden"/>
        <s v="cool_stuff"/>
        <s v="construction_tools_safety"/>
        <s v="construction_tools_lights"/>
        <s v="construction_tools_construction"/>
        <s v="consoles_games"/>
        <s v="computers_accessories"/>
        <s v="computers"/>
        <s v="cine_photo"/>
        <s v="christmas_supplies"/>
        <s v="cds_dvds_musicals"/>
        <s v="books_technical"/>
        <s v="books_imported"/>
        <s v="books_general_interest"/>
        <s v="bed_bath_table"/>
        <s v="baby"/>
        <s v="auto"/>
        <s v="audio"/>
        <s v="arts_and_craftmanship"/>
        <s v="art"/>
        <s v="air_conditioning"/>
        <s v="agro_industry_and_commerce"/>
      </sharedItems>
    </cacheField>
    <cacheField name="order_items_count" numFmtId="0">
      <sharedItems containsSemiMixedTypes="0" containsString="0" containsNumber="1" containsInteger="1" minValue="1" maxValue="994"/>
    </cacheField>
    <cacheField name="distinct_orders" numFmtId="0">
      <sharedItems containsSemiMixedTypes="0" containsString="0" containsNumber="1" containsInteger="1" minValue="1" maxValue="817"/>
    </cacheField>
    <cacheField name="revenue" numFmtId="0">
      <sharedItems containsSemiMixedTypes="0" containsString="0" containsNumber="1" minValue="16.29" maxValue="137206.07"/>
    </cacheField>
    <cacheField name="avg_freight_ratio" numFmtId="0">
      <sharedItems containsSemiMixedTypes="0" containsString="0" containsNumber="1" minValue="8.0227554518270006E-4" maxValue="0.79473684210526319"/>
    </cacheField>
    <cacheField name="avg_review_score" numFmtId="0">
      <sharedItems containsString="0" containsBlank="1" containsNumber="1" minValue="1" maxValue="5"/>
    </cacheField>
    <cacheField name="late_delivery_rate" numFmtId="0">
      <sharedItems containsSemiMixedTypes="0" containsString="0" containsNumber="1" minValue="0" maxValue="1.5"/>
    </cacheField>
    <cacheField name="Months (year_month)" numFmtId="0" databaseField="0">
      <fieldGroup base="1">
        <rangePr groupBy="months" startDate="2017-01-01T00:00:00" endDate="2018-08-02T00:00:00"/>
        <groupItems count="14">
          <s v="&lt;1/1/17"/>
          <s v="Jan"/>
          <s v="Feb"/>
          <s v="Mar"/>
          <s v="Apr"/>
          <s v="May"/>
          <s v="Jun"/>
          <s v="Jul"/>
          <s v="Aug"/>
          <s v="Sep"/>
          <s v="Oct"/>
          <s v="Nov"/>
          <s v="Dec"/>
          <s v="&gt;8/2/18"/>
        </groupItems>
      </fieldGroup>
    </cacheField>
    <cacheField name="Quarters (year_month)" numFmtId="0" databaseField="0">
      <fieldGroup base="1">
        <rangePr groupBy="quarters" startDate="2017-01-01T00:00:00" endDate="2018-08-02T00:00:00"/>
        <groupItems count="6">
          <s v="&lt;1/1/17"/>
          <s v="Qtr1"/>
          <s v="Qtr2"/>
          <s v="Qtr3"/>
          <s v="Qtr4"/>
          <s v="&gt;8/2/18"/>
        </groupItems>
      </fieldGroup>
    </cacheField>
    <cacheField name="Years (year_month)" numFmtId="0" databaseField="0">
      <fieldGroup base="1">
        <rangePr groupBy="years" startDate="2017-01-01T00:00:00" endDate="2018-08-02T00:00:00"/>
        <groupItems count="4">
          <s v="&lt;1/1/17"/>
          <s v="2017"/>
          <s v="2018"/>
          <s v="&gt;8/2/18"/>
        </groupItems>
      </fieldGroup>
    </cacheField>
  </cacheFields>
  <extLst>
    <ext xmlns:x14="http://schemas.microsoft.com/office/spreadsheetml/2009/9/main" uri="{725AE2AE-9491-48be-B2B4-4EB974FC3084}">
      <x14:pivotCacheDefinition pivotCacheId="1758381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x v="0"/>
    <x v="0"/>
    <n v="11"/>
    <n v="11"/>
    <n v="8310.83"/>
    <n v="5.5665492392906593E-2"/>
    <n v="4"/>
    <n v="9.0909090909090912E-2"/>
  </r>
  <r>
    <x v="0"/>
    <x v="1"/>
    <x v="0"/>
    <n v="37"/>
    <n v="35"/>
    <n v="12370.67"/>
    <n v="0.11780174653968288"/>
    <n v="4"/>
    <n v="0"/>
  </r>
  <r>
    <x v="0"/>
    <x v="2"/>
    <x v="0"/>
    <n v="81"/>
    <n v="76"/>
    <n v="28066.55"/>
    <n v="0.14130862051919588"/>
    <n v="4.1375000000000002"/>
    <n v="2.6315789473684209E-2"/>
  </r>
  <r>
    <x v="0"/>
    <x v="3"/>
    <x v="0"/>
    <n v="98"/>
    <n v="90"/>
    <n v="25223.15"/>
    <n v="0.16759589326045576"/>
    <n v="3.9587628865979383"/>
    <n v="5.5555555555555552E-2"/>
  </r>
  <r>
    <x v="0"/>
    <x v="4"/>
    <x v="0"/>
    <n v="136"/>
    <n v="126"/>
    <n v="40430.14"/>
    <n v="0.13167083910435642"/>
    <n v="4.242647058823529"/>
    <n v="1.5873015873015872E-2"/>
  </r>
  <r>
    <x v="0"/>
    <x v="5"/>
    <x v="0"/>
    <n v="124"/>
    <n v="118"/>
    <n v="30918.54"/>
    <n v="0.13717280811642779"/>
    <n v="4.139344262295082"/>
    <n v="2.5423728813559324E-2"/>
  </r>
  <r>
    <x v="0"/>
    <x v="6"/>
    <x v="0"/>
    <n v="168"/>
    <n v="157"/>
    <n v="39585.760000000002"/>
    <n v="0.15111255264288112"/>
    <n v="4.0119760479041915"/>
    <n v="3.1847133757961783E-2"/>
  </r>
  <r>
    <x v="0"/>
    <x v="7"/>
    <x v="0"/>
    <n v="212"/>
    <n v="195"/>
    <n v="39844.699999999997"/>
    <n v="0.16821270946915312"/>
    <n v="4.3726415094339623"/>
    <n v="2.564102564102564E-2"/>
  </r>
  <r>
    <x v="0"/>
    <x v="8"/>
    <x v="0"/>
    <n v="269"/>
    <n v="255"/>
    <n v="51531.1"/>
    <n v="0.15004110994920042"/>
    <n v="4.2631578947368425"/>
    <n v="3.9215686274509803E-2"/>
  </r>
  <r>
    <x v="0"/>
    <x v="9"/>
    <x v="0"/>
    <n v="314"/>
    <n v="287"/>
    <n v="70932.960000000006"/>
    <n v="0.14066142013194166"/>
    <n v="4.009646302250804"/>
    <n v="4.5296167247386762E-2"/>
  </r>
  <r>
    <x v="0"/>
    <x v="10"/>
    <x v="0"/>
    <n v="469"/>
    <n v="430"/>
    <n v="105672.8"/>
    <n v="0.14514928374281436"/>
    <n v="3.9175704989154014"/>
    <n v="0.12325581395348838"/>
  </r>
  <r>
    <x v="0"/>
    <x v="11"/>
    <x v="0"/>
    <n v="367"/>
    <n v="346"/>
    <n v="77405.23"/>
    <n v="0.12594917805389572"/>
    <n v="4.0193370165745854"/>
    <n v="6.358381502890173E-2"/>
  </r>
  <r>
    <x v="1"/>
    <x v="12"/>
    <x v="0"/>
    <n v="370"/>
    <n v="337"/>
    <n v="81519.89"/>
    <n v="0.12738777815202174"/>
    <n v="3.9260273972602739"/>
    <n v="5.9347181008902079E-2"/>
  </r>
  <r>
    <x v="1"/>
    <x v="13"/>
    <x v="0"/>
    <n v="337"/>
    <n v="317"/>
    <n v="69523.149999999994"/>
    <n v="0.12868911818175449"/>
    <n v="3.6036036036036037"/>
    <n v="0.1892744479495268"/>
  </r>
  <r>
    <x v="1"/>
    <x v="14"/>
    <x v="0"/>
    <n v="430"/>
    <n v="416"/>
    <n v="106696.69"/>
    <n v="0.12838733349585646"/>
    <n v="3.6666666666666665"/>
    <n v="0.24519230769230768"/>
  </r>
  <r>
    <x v="1"/>
    <x v="15"/>
    <x v="0"/>
    <n v="505"/>
    <n v="473"/>
    <n v="100316.99"/>
    <n v="0.11021511686145813"/>
    <n v="4.2075848303393215"/>
    <n v="3.5940803382663845E-2"/>
  </r>
  <r>
    <x v="1"/>
    <x v="16"/>
    <x v="0"/>
    <n v="637"/>
    <n v="596"/>
    <n v="132664.34"/>
    <n v="9.4612488360193606E-2"/>
    <n v="3.992138364779874"/>
    <n v="9.0604026845637578E-2"/>
  </r>
  <r>
    <x v="1"/>
    <x v="17"/>
    <x v="0"/>
    <n v="481"/>
    <n v="448"/>
    <n v="95855.5"/>
    <n v="0.13881867548934126"/>
    <n v="4.1899791231732779"/>
    <n v="1.7857142857142856E-2"/>
  </r>
  <r>
    <x v="1"/>
    <x v="18"/>
    <x v="0"/>
    <n v="529"/>
    <n v="514"/>
    <n v="106138.21"/>
    <n v="0.14083803525991126"/>
    <n v="3.9750479846449136"/>
    <n v="2.1400778210116732E-2"/>
  </r>
  <r>
    <x v="1"/>
    <x v="19"/>
    <x v="0"/>
    <n v="416"/>
    <n v="392"/>
    <n v="79391.86"/>
    <n v="0.13671937337698994"/>
    <n v="4.1514423076923075"/>
    <n v="7.3979591836734693E-2"/>
  </r>
  <r>
    <x v="0"/>
    <x v="0"/>
    <x v="1"/>
    <n v="13"/>
    <n v="11"/>
    <n v="1915.73"/>
    <n v="0.25711260050468443"/>
    <n v="3.6153846153846154"/>
    <n v="0"/>
  </r>
  <r>
    <x v="0"/>
    <x v="1"/>
    <x v="1"/>
    <n v="58"/>
    <n v="52"/>
    <n v="10090.89"/>
    <n v="0.25885343572236713"/>
    <n v="3.8620689655172415"/>
    <n v="0.13461538461538461"/>
  </r>
  <r>
    <x v="0"/>
    <x v="2"/>
    <x v="1"/>
    <n v="63"/>
    <n v="57"/>
    <n v="7791.09"/>
    <n v="0.22376078441206348"/>
    <n v="3.9"/>
    <n v="8.771929824561403E-2"/>
  </r>
  <r>
    <x v="0"/>
    <x v="3"/>
    <x v="1"/>
    <n v="73"/>
    <n v="65"/>
    <n v="10483.25"/>
    <n v="0.2426900408067495"/>
    <n v="4.1232876712328768"/>
    <n v="0.1076923076923077"/>
  </r>
  <r>
    <x v="0"/>
    <x v="4"/>
    <x v="1"/>
    <n v="97"/>
    <n v="87"/>
    <n v="12853.37"/>
    <n v="0.25140839296150735"/>
    <n v="4.1030927835051543"/>
    <n v="1.1494252873563218E-2"/>
  </r>
  <r>
    <x v="0"/>
    <x v="5"/>
    <x v="1"/>
    <n v="65"/>
    <n v="56"/>
    <n v="6695.41"/>
    <n v="0.24412674311742724"/>
    <n v="3.6923076923076925"/>
    <n v="1.7857142857142856E-2"/>
  </r>
  <r>
    <x v="0"/>
    <x v="6"/>
    <x v="1"/>
    <n v="62"/>
    <n v="55"/>
    <n v="4058.9"/>
    <n v="0.26515729915764108"/>
    <n v="4.1639344262295079"/>
    <n v="0"/>
  </r>
  <r>
    <x v="0"/>
    <x v="7"/>
    <x v="1"/>
    <n v="77"/>
    <n v="66"/>
    <n v="6524.86"/>
    <n v="0.23129699674349644"/>
    <n v="4.0133333333333336"/>
    <n v="4.5454545454545456E-2"/>
  </r>
  <r>
    <x v="0"/>
    <x v="8"/>
    <x v="1"/>
    <n v="75"/>
    <n v="62"/>
    <n v="7369.68"/>
    <n v="0.23371435692610967"/>
    <n v="3.9466666666666668"/>
    <n v="6.4516129032258063E-2"/>
  </r>
  <r>
    <x v="0"/>
    <x v="9"/>
    <x v="1"/>
    <n v="73"/>
    <n v="63"/>
    <n v="20704.900000000001"/>
    <n v="0.21906878921386033"/>
    <n v="3.8732394366197185"/>
    <n v="1.5873015873015872E-2"/>
  </r>
  <r>
    <x v="0"/>
    <x v="10"/>
    <x v="1"/>
    <n v="122"/>
    <n v="115"/>
    <n v="16253.19"/>
    <n v="0.2312494294482508"/>
    <n v="3.6967213114754096"/>
    <n v="0.1391304347826087"/>
  </r>
  <r>
    <x v="0"/>
    <x v="11"/>
    <x v="1"/>
    <n v="147"/>
    <n v="137"/>
    <n v="18250.21"/>
    <n v="0.1460753473441142"/>
    <n v="3.4513888888888888"/>
    <n v="8.0291970802919707E-2"/>
  </r>
  <r>
    <x v="1"/>
    <x v="12"/>
    <x v="1"/>
    <n v="208"/>
    <n v="184"/>
    <n v="25627.07"/>
    <n v="0.18195417083369653"/>
    <n v="3.4563106796116503"/>
    <n v="9.2391304347826081E-2"/>
  </r>
  <r>
    <x v="1"/>
    <x v="13"/>
    <x v="1"/>
    <n v="122"/>
    <n v="111"/>
    <n v="15401.12"/>
    <n v="0.17302664490796221"/>
    <n v="3.942622950819672"/>
    <n v="6.3063063063063057E-2"/>
  </r>
  <r>
    <x v="1"/>
    <x v="14"/>
    <x v="1"/>
    <n v="135"/>
    <n v="127"/>
    <n v="20026.740000000002"/>
    <n v="0.16449481455151152"/>
    <n v="3.8796992481203008"/>
    <n v="0.20472440944881889"/>
  </r>
  <r>
    <x v="1"/>
    <x v="15"/>
    <x v="1"/>
    <n v="76"/>
    <n v="74"/>
    <n v="9616.41"/>
    <n v="0.18138497951991925"/>
    <n v="4.1052631578947372"/>
    <n v="2.7027027027027029E-2"/>
  </r>
  <r>
    <x v="1"/>
    <x v="16"/>
    <x v="1"/>
    <n v="45"/>
    <n v="40"/>
    <n v="6075.77"/>
    <n v="0.28233570980055411"/>
    <n v="3.7727272727272725"/>
    <n v="0.1"/>
  </r>
  <r>
    <x v="1"/>
    <x v="17"/>
    <x v="1"/>
    <n v="23"/>
    <n v="22"/>
    <n v="2805.7"/>
    <n v="0.2405524244075059"/>
    <n v="4"/>
    <n v="0"/>
  </r>
  <r>
    <x v="1"/>
    <x v="18"/>
    <x v="1"/>
    <n v="58"/>
    <n v="51"/>
    <n v="6648.66"/>
    <n v="0.27290516221915162"/>
    <n v="3.8596491228070176"/>
    <n v="1.9607843137254902E-2"/>
  </r>
  <r>
    <x v="1"/>
    <x v="19"/>
    <x v="1"/>
    <n v="38"/>
    <n v="36"/>
    <n v="5123.43"/>
    <n v="0.23961693728462416"/>
    <n v="4.2631578947368425"/>
    <n v="8.3333333333333329E-2"/>
  </r>
  <r>
    <x v="0"/>
    <x v="0"/>
    <x v="2"/>
    <n v="43"/>
    <n v="43"/>
    <n v="5570.38"/>
    <n v="0.17744124737906311"/>
    <n v="4.2558139534883717"/>
    <n v="0"/>
  </r>
  <r>
    <x v="0"/>
    <x v="1"/>
    <x v="2"/>
    <n v="67"/>
    <n v="62"/>
    <n v="10601.29"/>
    <n v="0.19246611711728936"/>
    <n v="4.2835820895522385"/>
    <n v="1.6129032258064516E-2"/>
  </r>
  <r>
    <x v="0"/>
    <x v="2"/>
    <x v="2"/>
    <n v="103"/>
    <n v="100"/>
    <n v="14354.03"/>
    <n v="0.18932166579153692"/>
    <n v="4.4215686274509807"/>
    <n v="0.03"/>
  </r>
  <r>
    <x v="0"/>
    <x v="3"/>
    <x v="2"/>
    <n v="113"/>
    <n v="103"/>
    <n v="14983.58"/>
    <n v="0.17820513885089603"/>
    <n v="4.2181818181818178"/>
    <n v="3.8834951456310676E-2"/>
  </r>
  <r>
    <x v="0"/>
    <x v="4"/>
    <x v="2"/>
    <n v="200"/>
    <n v="196"/>
    <n v="26091.14"/>
    <n v="0.17624027504010686"/>
    <n v="4.5"/>
    <n v="2.5510204081632654E-2"/>
  </r>
  <r>
    <x v="0"/>
    <x v="5"/>
    <x v="2"/>
    <n v="159"/>
    <n v="152"/>
    <n v="18373.599999999999"/>
    <n v="0.1965450173105244"/>
    <n v="4.3101265822784809"/>
    <n v="2.6315789473684209E-2"/>
  </r>
  <r>
    <x v="0"/>
    <x v="6"/>
    <x v="2"/>
    <n v="208"/>
    <n v="201"/>
    <n v="28236.61"/>
    <n v="0.18333557477522733"/>
    <n v="4.4585365853658541"/>
    <n v="1.4925373134328358E-2"/>
  </r>
  <r>
    <x v="0"/>
    <x v="7"/>
    <x v="2"/>
    <n v="184"/>
    <n v="170"/>
    <n v="21301.439999999999"/>
    <n v="0.20105085634020486"/>
    <n v="4.3770491803278686"/>
    <n v="2.3529411764705882E-2"/>
  </r>
  <r>
    <x v="0"/>
    <x v="8"/>
    <x v="2"/>
    <n v="297"/>
    <n v="273"/>
    <n v="37056.83"/>
    <n v="0.19651582691473321"/>
    <n v="4.1365187713310583"/>
    <n v="5.4945054945054944E-2"/>
  </r>
  <r>
    <x v="0"/>
    <x v="9"/>
    <x v="2"/>
    <n v="290"/>
    <n v="279"/>
    <n v="39714.300000000003"/>
    <n v="0.17507401655425309"/>
    <n v="4.2256944444444446"/>
    <n v="3.9426523297491037E-2"/>
  </r>
  <r>
    <x v="0"/>
    <x v="10"/>
    <x v="2"/>
    <n v="497"/>
    <n v="452"/>
    <n v="73895.149999999994"/>
    <n v="0.17868702560811509"/>
    <n v="4.0469387755102044"/>
    <n v="0.12168141592920353"/>
  </r>
  <r>
    <x v="0"/>
    <x v="11"/>
    <x v="2"/>
    <n v="445"/>
    <n v="421"/>
    <n v="65841.3"/>
    <n v="0.16028656382211462"/>
    <n v="3.8952164009111616"/>
    <n v="9.9762470308788598E-2"/>
  </r>
  <r>
    <x v="1"/>
    <x v="12"/>
    <x v="2"/>
    <n v="165"/>
    <n v="158"/>
    <n v="24841.38"/>
    <n v="0.16467368125895135"/>
    <n v="4.0372670807453419"/>
    <n v="6.9620253164556958E-2"/>
  </r>
  <r>
    <x v="1"/>
    <x v="13"/>
    <x v="2"/>
    <n v="146"/>
    <n v="137"/>
    <n v="17054.22"/>
    <n v="0.19267849971142598"/>
    <n v="3.823943661971831"/>
    <n v="0.145985401459854"/>
  </r>
  <r>
    <x v="1"/>
    <x v="14"/>
    <x v="2"/>
    <n v="236"/>
    <n v="222"/>
    <n v="27879.82"/>
    <n v="0.2126363581283725"/>
    <n v="3.6309012875536482"/>
    <n v="0.17117117117117117"/>
  </r>
  <r>
    <x v="1"/>
    <x v="15"/>
    <x v="2"/>
    <n v="205"/>
    <n v="196"/>
    <n v="27590.04"/>
    <n v="0.21859018017335427"/>
    <n v="4.2512315270935961"/>
    <n v="3.5714285714285712E-2"/>
  </r>
  <r>
    <x v="1"/>
    <x v="16"/>
    <x v="2"/>
    <n v="221"/>
    <n v="214"/>
    <n v="36425.46"/>
    <n v="0.18816514666608272"/>
    <n v="4.3257918552036196"/>
    <n v="6.5420560747663545E-2"/>
  </r>
  <r>
    <x v="1"/>
    <x v="17"/>
    <x v="2"/>
    <n v="191"/>
    <n v="177"/>
    <n v="25293.65"/>
    <n v="0.22547592483786644"/>
    <n v="4.4315789473684211"/>
    <n v="5.6497175141242938E-3"/>
  </r>
  <r>
    <x v="1"/>
    <x v="18"/>
    <x v="2"/>
    <n v="156"/>
    <n v="150"/>
    <n v="20636.349999999999"/>
    <n v="0.22704099103061628"/>
    <n v="4.2820512820512819"/>
    <n v="3.3333333333333333E-2"/>
  </r>
  <r>
    <x v="1"/>
    <x v="19"/>
    <x v="2"/>
    <n v="170"/>
    <n v="155"/>
    <n v="21074.27"/>
    <n v="0.20277378927584305"/>
    <n v="4.1317365269461082"/>
    <n v="9.0322580645161285E-2"/>
  </r>
  <r>
    <x v="0"/>
    <x v="0"/>
    <x v="3"/>
    <n v="26"/>
    <n v="21"/>
    <n v="3411.51"/>
    <n v="0.38380641244268332"/>
    <n v="4"/>
    <n v="0"/>
  </r>
  <r>
    <x v="0"/>
    <x v="1"/>
    <x v="3"/>
    <n v="111"/>
    <n v="100"/>
    <n v="8647.34"/>
    <n v="0.32757398633829576"/>
    <n v="4.0825688073394497"/>
    <n v="7.0000000000000007E-2"/>
  </r>
  <r>
    <x v="0"/>
    <x v="2"/>
    <x v="3"/>
    <n v="173"/>
    <n v="159"/>
    <n v="10775.79"/>
    <n v="0.32921524663584323"/>
    <n v="3.8313953488372094"/>
    <n v="3.7735849056603772E-2"/>
  </r>
  <r>
    <x v="0"/>
    <x v="3"/>
    <x v="3"/>
    <n v="145"/>
    <n v="141"/>
    <n v="9523.9699999999993"/>
    <n v="0.3549099107356386"/>
    <n v="4.1888111888111892"/>
    <n v="7.0921985815602842E-2"/>
  </r>
  <r>
    <x v="0"/>
    <x v="4"/>
    <x v="3"/>
    <n v="224"/>
    <n v="204"/>
    <n v="12650.96"/>
    <n v="0.36025516378675959"/>
    <n v="3.8468468468468466"/>
    <n v="1.9607843137254902E-2"/>
  </r>
  <r>
    <x v="0"/>
    <x v="5"/>
    <x v="3"/>
    <n v="160"/>
    <n v="151"/>
    <n v="9177.4"/>
    <n v="0.37692033185624035"/>
    <n v="4.1124999999999998"/>
    <n v="3.3112582781456956E-2"/>
  </r>
  <r>
    <x v="0"/>
    <x v="6"/>
    <x v="3"/>
    <n v="145"/>
    <n v="136"/>
    <n v="11242.51"/>
    <n v="0.30845991850826399"/>
    <n v="4.1862068965517238"/>
    <n v="2.2058823529411766E-2"/>
  </r>
  <r>
    <x v="0"/>
    <x v="7"/>
    <x v="3"/>
    <n v="136"/>
    <n v="131"/>
    <n v="13224.63"/>
    <n v="0.27697448693124183"/>
    <n v="4.0588235294117645"/>
    <n v="2.2900763358778626E-2"/>
  </r>
  <r>
    <x v="0"/>
    <x v="8"/>
    <x v="3"/>
    <n v="177"/>
    <n v="164"/>
    <n v="21537.96"/>
    <n v="0.25427315786878069"/>
    <n v="4.3181818181818183"/>
    <n v="6.7073170731707321E-2"/>
  </r>
  <r>
    <x v="0"/>
    <x v="9"/>
    <x v="3"/>
    <n v="253"/>
    <n v="228"/>
    <n v="26812.39"/>
    <n v="0.25575517233152395"/>
    <n v="4.0522088353413652"/>
    <n v="4.8245614035087717E-2"/>
  </r>
  <r>
    <x v="0"/>
    <x v="10"/>
    <x v="3"/>
    <n v="383"/>
    <n v="351"/>
    <n v="32415.96"/>
    <n v="0.28657254724780179"/>
    <n v="3.7210526315789476"/>
    <n v="0.13105413105413105"/>
  </r>
  <r>
    <x v="0"/>
    <x v="11"/>
    <x v="3"/>
    <n v="267"/>
    <n v="244"/>
    <n v="17383.240000000002"/>
    <n v="0.28351858732337037"/>
    <n v="4.0113636363636367"/>
    <n v="4.0983606557377046E-2"/>
  </r>
  <r>
    <x v="1"/>
    <x v="12"/>
    <x v="3"/>
    <n v="372"/>
    <n v="347"/>
    <n v="20507.78"/>
    <n v="0.32111952965256757"/>
    <n v="3.875"/>
    <n v="7.7809798270893377E-2"/>
  </r>
  <r>
    <x v="1"/>
    <x v="13"/>
    <x v="3"/>
    <n v="359"/>
    <n v="333"/>
    <n v="18991.43"/>
    <n v="0.29921960200451692"/>
    <n v="3.7746478873239435"/>
    <n v="0.14414414414414414"/>
  </r>
  <r>
    <x v="1"/>
    <x v="14"/>
    <x v="3"/>
    <n v="344"/>
    <n v="329"/>
    <n v="31271.759999999998"/>
    <n v="0.31170797365539693"/>
    <n v="3.5395894428152492"/>
    <n v="0.20060790273556231"/>
  </r>
  <r>
    <x v="1"/>
    <x v="15"/>
    <x v="3"/>
    <n v="284"/>
    <n v="250"/>
    <n v="20829.87"/>
    <n v="0.28784606418924547"/>
    <n v="3.8581560283687941"/>
    <n v="5.1999999999999998E-2"/>
  </r>
  <r>
    <x v="1"/>
    <x v="16"/>
    <x v="3"/>
    <n v="257"/>
    <n v="243"/>
    <n v="25871.71"/>
    <n v="0.31534822505947097"/>
    <n v="4.24609375"/>
    <n v="4.5267489711934158E-2"/>
  </r>
  <r>
    <x v="1"/>
    <x v="17"/>
    <x v="3"/>
    <n v="219"/>
    <n v="205"/>
    <n v="26562.720000000001"/>
    <n v="0.31718259941290383"/>
    <n v="4.1422018348623855"/>
    <n v="4.3902439024390241E-2"/>
  </r>
  <r>
    <x v="1"/>
    <x v="18"/>
    <x v="3"/>
    <n v="226"/>
    <n v="206"/>
    <n v="31071.4"/>
    <n v="0.26497235284347587"/>
    <n v="4.0044843049327357"/>
    <n v="3.3980582524271843E-2"/>
  </r>
  <r>
    <x v="1"/>
    <x v="19"/>
    <x v="3"/>
    <n v="277"/>
    <n v="246"/>
    <n v="42480.9"/>
    <n v="0.22615817044886785"/>
    <n v="4.0145454545454546"/>
    <n v="4.4715447154471545E-2"/>
  </r>
  <r>
    <x v="0"/>
    <x v="1"/>
    <x v="4"/>
    <n v="8"/>
    <n v="8"/>
    <n v="940.52"/>
    <n v="0.15643055412977336"/>
    <n v="4.25"/>
    <n v="0"/>
  </r>
  <r>
    <x v="0"/>
    <x v="2"/>
    <x v="4"/>
    <n v="5"/>
    <n v="5"/>
    <n v="587.91"/>
    <n v="0.15610788125766492"/>
    <n v="3.2"/>
    <n v="0.2"/>
  </r>
  <r>
    <x v="0"/>
    <x v="3"/>
    <x v="4"/>
    <n v="11"/>
    <n v="9"/>
    <n v="1312.23"/>
    <n v="0.17957430637869162"/>
    <n v="4"/>
    <n v="0"/>
  </r>
  <r>
    <x v="0"/>
    <x v="4"/>
    <x v="4"/>
    <n v="7"/>
    <n v="7"/>
    <n v="1607.02"/>
    <n v="8.738481265401403E-2"/>
    <n v="4.8"/>
    <n v="0.14285714285714285"/>
  </r>
  <r>
    <x v="0"/>
    <x v="5"/>
    <x v="4"/>
    <n v="6"/>
    <n v="6"/>
    <n v="679.17"/>
    <n v="0.12313397338929789"/>
    <n v="5"/>
    <n v="0"/>
  </r>
  <r>
    <x v="0"/>
    <x v="6"/>
    <x v="4"/>
    <n v="2"/>
    <n v="2"/>
    <n v="219.63"/>
    <n v="9.8342454614508829E-2"/>
    <n v="3.5"/>
    <n v="0"/>
  </r>
  <r>
    <x v="0"/>
    <x v="7"/>
    <x v="4"/>
    <n v="6"/>
    <n v="6"/>
    <n v="557.82000000000005"/>
    <n v="0.24545087843169666"/>
    <n v="4.166666666666667"/>
    <n v="0"/>
  </r>
  <r>
    <x v="0"/>
    <x v="8"/>
    <x v="4"/>
    <n v="3"/>
    <n v="3"/>
    <n v="279.88"/>
    <n v="0.188638051049384"/>
    <n v="3.6666666666666665"/>
    <n v="0"/>
  </r>
  <r>
    <x v="0"/>
    <x v="9"/>
    <x v="4"/>
    <n v="1"/>
    <n v="1"/>
    <n v="111.19"/>
    <n v="0.10963216116557245"/>
    <n v="4"/>
    <n v="0"/>
  </r>
  <r>
    <x v="0"/>
    <x v="10"/>
    <x v="4"/>
    <n v="6"/>
    <n v="6"/>
    <n v="442.39"/>
    <n v="0.24864879868441103"/>
    <n v="4"/>
    <n v="0"/>
  </r>
  <r>
    <x v="0"/>
    <x v="11"/>
    <x v="4"/>
    <n v="6"/>
    <n v="6"/>
    <n v="475.02"/>
    <n v="0.11708980674497915"/>
    <n v="4.666666666666667"/>
    <n v="0"/>
  </r>
  <r>
    <x v="1"/>
    <x v="12"/>
    <x v="4"/>
    <n v="3"/>
    <n v="3"/>
    <n v="186.77"/>
    <n v="0.13376297282824401"/>
    <n v="4.333333333333333"/>
    <n v="0.33333333333333331"/>
  </r>
  <r>
    <x v="1"/>
    <x v="13"/>
    <x v="4"/>
    <n v="13"/>
    <n v="12"/>
    <n v="866.49"/>
    <n v="0.19378242816800448"/>
    <n v="3.5384615384615383"/>
    <n v="0.16666666666666666"/>
  </r>
  <r>
    <x v="1"/>
    <x v="14"/>
    <x v="4"/>
    <n v="3"/>
    <n v="2"/>
    <n v="287.29000000000002"/>
    <n v="0.10382908524235589"/>
    <n v="4.666666666666667"/>
    <n v="0"/>
  </r>
  <r>
    <x v="1"/>
    <x v="15"/>
    <x v="4"/>
    <n v="1"/>
    <n v="1"/>
    <n v="70.239999999999995"/>
    <n v="0.25968109339407747"/>
    <n v="5"/>
    <n v="0"/>
  </r>
  <r>
    <x v="1"/>
    <x v="16"/>
    <x v="4"/>
    <n v="1"/>
    <n v="1"/>
    <n v="58.19"/>
    <n v="0.14246434095205363"/>
    <n v="5"/>
    <n v="0"/>
  </r>
  <r>
    <x v="1"/>
    <x v="17"/>
    <x v="4"/>
    <n v="1"/>
    <n v="1"/>
    <n v="72.849999999999994"/>
    <n v="0.31365820178448867"/>
    <n v="4"/>
    <n v="0"/>
  </r>
  <r>
    <x v="0"/>
    <x v="0"/>
    <x v="5"/>
    <n v="14"/>
    <n v="7"/>
    <n v="1754.61"/>
    <n v="0.14583698110170054"/>
    <n v="4.7857142857142856"/>
    <n v="0"/>
  </r>
  <r>
    <x v="0"/>
    <x v="1"/>
    <x v="5"/>
    <n v="19"/>
    <n v="19"/>
    <n v="2646.03"/>
    <n v="0.15308393768784373"/>
    <n v="4.5263157894736841"/>
    <n v="5.2631578947368418E-2"/>
  </r>
  <r>
    <x v="0"/>
    <x v="2"/>
    <x v="5"/>
    <n v="56"/>
    <n v="56"/>
    <n v="6994.89"/>
    <n v="0.20636754576503161"/>
    <n v="4.5999999999999996"/>
    <n v="0"/>
  </r>
  <r>
    <x v="0"/>
    <x v="3"/>
    <x v="5"/>
    <n v="36"/>
    <n v="36"/>
    <n v="5197.2"/>
    <n v="0.16552046081972951"/>
    <n v="4.3888888888888893"/>
    <n v="5.5555555555555552E-2"/>
  </r>
  <r>
    <x v="0"/>
    <x v="4"/>
    <x v="5"/>
    <n v="66"/>
    <n v="62"/>
    <n v="7147.63"/>
    <n v="0.19037678099837343"/>
    <n v="4.3125"/>
    <n v="1.6129032258064516E-2"/>
  </r>
  <r>
    <x v="0"/>
    <x v="5"/>
    <x v="5"/>
    <n v="38"/>
    <n v="37"/>
    <n v="4176.05"/>
    <n v="0.19535059645156269"/>
    <n v="4.3684210526315788"/>
    <n v="0"/>
  </r>
  <r>
    <x v="0"/>
    <x v="6"/>
    <x v="5"/>
    <n v="81"/>
    <n v="75"/>
    <n v="8490.1299999999992"/>
    <n v="0.19587671331474385"/>
    <n v="4.0864197530864201"/>
    <n v="0.04"/>
  </r>
  <r>
    <x v="0"/>
    <x v="7"/>
    <x v="5"/>
    <n v="80"/>
    <n v="75"/>
    <n v="7885.5"/>
    <n v="0.23534243065394655"/>
    <n v="4.5250000000000004"/>
    <n v="2.6666666666666668E-2"/>
  </r>
  <r>
    <x v="0"/>
    <x v="8"/>
    <x v="5"/>
    <n v="77"/>
    <n v="71"/>
    <n v="7512.65"/>
    <n v="0.21592119225246137"/>
    <n v="4.1038961038961039"/>
    <n v="5.6338028169014086E-2"/>
  </r>
  <r>
    <x v="0"/>
    <x v="9"/>
    <x v="5"/>
    <n v="101"/>
    <n v="93"/>
    <n v="10574.71"/>
    <n v="0.23473374659066348"/>
    <n v="3.8217821782178216"/>
    <n v="3.2258064516129031E-2"/>
  </r>
  <r>
    <x v="0"/>
    <x v="10"/>
    <x v="5"/>
    <n v="166"/>
    <n v="152"/>
    <n v="20139.560000000001"/>
    <n v="0.19989257545598499"/>
    <n v="4.3212121212121213"/>
    <n v="0.1118421052631579"/>
  </r>
  <r>
    <x v="0"/>
    <x v="11"/>
    <x v="5"/>
    <n v="251"/>
    <n v="231"/>
    <n v="30519.99"/>
    <n v="0.19661150544575667"/>
    <n v="3.992"/>
    <n v="8.6580086580086577E-2"/>
  </r>
  <r>
    <x v="1"/>
    <x v="12"/>
    <x v="5"/>
    <n v="397"/>
    <n v="379"/>
    <n v="48033.79"/>
    <n v="0.17341396466659972"/>
    <n v="4.1984536082474229"/>
    <n v="5.8047493403693931E-2"/>
  </r>
  <r>
    <x v="1"/>
    <x v="13"/>
    <x v="5"/>
    <n v="160"/>
    <n v="144"/>
    <n v="14517.81"/>
    <n v="0.24420558779478058"/>
    <n v="3.7106918238993711"/>
    <n v="0.16666666666666666"/>
  </r>
  <r>
    <x v="1"/>
    <x v="14"/>
    <x v="5"/>
    <n v="164"/>
    <n v="146"/>
    <n v="16051.13"/>
    <n v="0.25202579826421634"/>
    <n v="3.7407407407407409"/>
    <n v="0.23287671232876711"/>
  </r>
  <r>
    <x v="1"/>
    <x v="15"/>
    <x v="5"/>
    <n v="155"/>
    <n v="131"/>
    <n v="14308.27"/>
    <n v="0.25662474778541144"/>
    <n v="4.1776315789473681"/>
    <n v="4.5801526717557252E-2"/>
  </r>
  <r>
    <x v="1"/>
    <x v="16"/>
    <x v="5"/>
    <n v="130"/>
    <n v="124"/>
    <n v="15372.31"/>
    <n v="0.21467476009344599"/>
    <n v="4.387596899224806"/>
    <n v="4.8387096774193547E-2"/>
  </r>
  <r>
    <x v="1"/>
    <x v="17"/>
    <x v="5"/>
    <n v="167"/>
    <n v="145"/>
    <n v="16026.05"/>
    <n v="0.25786671657504512"/>
    <n v="4.4131736526946108"/>
    <n v="6.8965517241379309E-3"/>
  </r>
  <r>
    <x v="1"/>
    <x v="18"/>
    <x v="5"/>
    <n v="191"/>
    <n v="169"/>
    <n v="21489.7"/>
    <n v="0.24615261205563568"/>
    <n v="4.3473684210526313"/>
    <n v="4.142011834319527E-2"/>
  </r>
  <r>
    <x v="1"/>
    <x v="19"/>
    <x v="5"/>
    <n v="170"/>
    <n v="159"/>
    <n v="18980.61"/>
    <n v="0.21531724109975706"/>
    <n v="4.5798816568047336"/>
    <n v="8.8050314465408799E-2"/>
  </r>
  <r>
    <x v="0"/>
    <x v="0"/>
    <x v="6"/>
    <n v="86"/>
    <n v="62"/>
    <n v="11856.71"/>
    <n v="0.22005813407981117"/>
    <n v="4.0120481927710845"/>
    <n v="4.8387096774193547E-2"/>
  </r>
  <r>
    <x v="0"/>
    <x v="1"/>
    <x v="6"/>
    <n v="156"/>
    <n v="139"/>
    <n v="19389.03"/>
    <n v="0.20965140357052317"/>
    <n v="4.1688311688311686"/>
    <n v="1.4388489208633094E-2"/>
  </r>
  <r>
    <x v="0"/>
    <x v="2"/>
    <x v="6"/>
    <n v="199"/>
    <n v="171"/>
    <n v="31309.599999999999"/>
    <n v="0.21432702121785935"/>
    <n v="4.2113402061855671"/>
    <n v="3.5087719298245612E-2"/>
  </r>
  <r>
    <x v="0"/>
    <x v="3"/>
    <x v="6"/>
    <n v="218"/>
    <n v="198"/>
    <n v="29121.39"/>
    <n v="0.21447956729329726"/>
    <n v="4.0233644859813085"/>
    <n v="5.5555555555555552E-2"/>
  </r>
  <r>
    <x v="0"/>
    <x v="4"/>
    <x v="6"/>
    <n v="316"/>
    <n v="266"/>
    <n v="42376.95"/>
    <n v="0.21877177469451217"/>
    <n v="4.1437699680511182"/>
    <n v="3.3834586466165412E-2"/>
  </r>
  <r>
    <x v="0"/>
    <x v="5"/>
    <x v="6"/>
    <n v="278"/>
    <n v="250"/>
    <n v="39149.300000000003"/>
    <n v="0.24075538696334572"/>
    <n v="4.3639705882352944"/>
    <n v="4.8000000000000001E-2"/>
  </r>
  <r>
    <x v="0"/>
    <x v="6"/>
    <x v="6"/>
    <n v="392"/>
    <n v="337"/>
    <n v="46679.98"/>
    <n v="0.21949436648391618"/>
    <n v="4.170157068062827"/>
    <n v="2.3738872403560832E-2"/>
  </r>
  <r>
    <x v="0"/>
    <x v="7"/>
    <x v="6"/>
    <n v="427"/>
    <n v="383"/>
    <n v="49789.39"/>
    <n v="0.21202027581796554"/>
    <n v="4.3238770685579198"/>
    <n v="5.4830287206266322E-2"/>
  </r>
  <r>
    <x v="0"/>
    <x v="8"/>
    <x v="6"/>
    <n v="464"/>
    <n v="416"/>
    <n v="59285.81"/>
    <n v="0.19875938619830991"/>
    <n v="4.2258771929824563"/>
    <n v="2.403846153846154E-2"/>
  </r>
  <r>
    <x v="0"/>
    <x v="9"/>
    <x v="6"/>
    <n v="474"/>
    <n v="424"/>
    <n v="58355.360000000001"/>
    <n v="0.19894517760138791"/>
    <n v="4.1391862955032117"/>
    <n v="3.0660377358490566E-2"/>
  </r>
  <r>
    <x v="0"/>
    <x v="10"/>
    <x v="6"/>
    <n v="618"/>
    <n v="557"/>
    <n v="76573.94"/>
    <n v="0.19691712364991168"/>
    <n v="4.1619834710743806"/>
    <n v="9.6947935368043081E-2"/>
  </r>
  <r>
    <x v="0"/>
    <x v="11"/>
    <x v="6"/>
    <n v="495"/>
    <n v="440"/>
    <n v="69657.100000000006"/>
    <n v="0.19527251744578517"/>
    <n v="4.0614754098360653"/>
    <n v="7.9545454545454544E-2"/>
  </r>
  <r>
    <x v="1"/>
    <x v="12"/>
    <x v="6"/>
    <n v="656"/>
    <n v="586"/>
    <n v="105217.83"/>
    <n v="0.19128268977927776"/>
    <n v="3.8646967340590979"/>
    <n v="5.8020477815699661E-2"/>
  </r>
  <r>
    <x v="1"/>
    <x v="13"/>
    <x v="6"/>
    <n v="653"/>
    <n v="585"/>
    <n v="88286.51"/>
    <n v="0.18648281479546744"/>
    <n v="3.7632398753894081"/>
    <n v="0.15384615384615385"/>
  </r>
  <r>
    <x v="1"/>
    <x v="14"/>
    <x v="6"/>
    <n v="761"/>
    <n v="672"/>
    <n v="100283.39"/>
    <n v="0.19497813517137269"/>
    <n v="3.6853333333333333"/>
    <n v="0.19940476190476192"/>
  </r>
  <r>
    <x v="1"/>
    <x v="15"/>
    <x v="6"/>
    <n v="601"/>
    <n v="532"/>
    <n v="79178.17"/>
    <n v="0.19113591458252197"/>
    <n v="4.1892797319932997"/>
    <n v="4.1353383458646614E-2"/>
  </r>
  <r>
    <x v="1"/>
    <x v="16"/>
    <x v="6"/>
    <n v="492"/>
    <n v="452"/>
    <n v="68841.539999999994"/>
    <n v="0.19216190342334685"/>
    <n v="4.3061224489795915"/>
    <n v="7.3008849557522126E-2"/>
  </r>
  <r>
    <x v="1"/>
    <x v="17"/>
    <x v="6"/>
    <n v="426"/>
    <n v="377"/>
    <n v="54825.25"/>
    <n v="0.21404206920290916"/>
    <n v="4.3349168646080756"/>
    <n v="1.0610079575596816E-2"/>
  </r>
  <r>
    <x v="1"/>
    <x v="18"/>
    <x v="6"/>
    <n v="468"/>
    <n v="418"/>
    <n v="65830.02"/>
    <n v="0.22626892756502828"/>
    <n v="4.258064516129032"/>
    <n v="2.6315789473684209E-2"/>
  </r>
  <r>
    <x v="1"/>
    <x v="19"/>
    <x v="6"/>
    <n v="476"/>
    <n v="436"/>
    <n v="60419.199999999997"/>
    <n v="0.21027343439763832"/>
    <n v="4.3551797040169129"/>
    <n v="4.5871559633027525E-2"/>
  </r>
  <r>
    <x v="0"/>
    <x v="5"/>
    <x v="7"/>
    <n v="1"/>
    <n v="1"/>
    <n v="88.65"/>
    <n v="0.1889452904681331"/>
    <n v="5"/>
    <n v="0"/>
  </r>
  <r>
    <x v="0"/>
    <x v="7"/>
    <x v="7"/>
    <n v="2"/>
    <n v="2"/>
    <n v="133.86000000000001"/>
    <n v="0.240234408816968"/>
    <n v="2"/>
    <n v="0"/>
  </r>
  <r>
    <x v="0"/>
    <x v="8"/>
    <x v="7"/>
    <n v="1"/>
    <n v="1"/>
    <n v="673.47"/>
    <n v="4.8227834944392478E-2"/>
    <n v="1"/>
    <n v="0"/>
  </r>
  <r>
    <x v="1"/>
    <x v="12"/>
    <x v="7"/>
    <n v="1"/>
    <n v="1"/>
    <n v="385.13"/>
    <n v="3.9311401345000392E-2"/>
    <n v="5"/>
    <n v="0"/>
  </r>
  <r>
    <x v="1"/>
    <x v="13"/>
    <x v="7"/>
    <n v="5"/>
    <n v="5"/>
    <n v="3213.64"/>
    <n v="0.10902939348050519"/>
    <n v="3.25"/>
    <n v="0.2"/>
  </r>
  <r>
    <x v="1"/>
    <x v="14"/>
    <x v="7"/>
    <n v="7"/>
    <n v="7"/>
    <n v="8220.48"/>
    <n v="5.5637980900233232E-2"/>
    <n v="4.8571428571428568"/>
    <n v="0"/>
  </r>
  <r>
    <x v="1"/>
    <x v="15"/>
    <x v="7"/>
    <n v="15"/>
    <n v="15"/>
    <n v="14769.18"/>
    <n v="6.0649218258453944E-2"/>
    <n v="4.0666666666666664"/>
    <n v="6.6666666666666666E-2"/>
  </r>
  <r>
    <x v="1"/>
    <x v="16"/>
    <x v="7"/>
    <n v="9"/>
    <n v="9"/>
    <n v="10474.540000000001"/>
    <n v="3.6139559405832161E-2"/>
    <n v="4.2222222222222223"/>
    <n v="0.22222222222222221"/>
  </r>
  <r>
    <x v="1"/>
    <x v="17"/>
    <x v="7"/>
    <n v="3"/>
    <n v="3"/>
    <n v="3672.13"/>
    <n v="5.9482880483613935E-2"/>
    <n v="5"/>
    <n v="0"/>
  </r>
  <r>
    <x v="1"/>
    <x v="18"/>
    <x v="7"/>
    <n v="15"/>
    <n v="14"/>
    <n v="5171.3599999999997"/>
    <n v="0.20480011418797547"/>
    <n v="4.8666666666666671"/>
    <n v="0"/>
  </r>
  <r>
    <x v="1"/>
    <x v="19"/>
    <x v="7"/>
    <n v="17"/>
    <n v="17"/>
    <n v="3391.13"/>
    <n v="0.18231318884968464"/>
    <n v="4.2941176470588234"/>
    <n v="0"/>
  </r>
  <r>
    <x v="0"/>
    <x v="0"/>
    <x v="8"/>
    <n v="6"/>
    <n v="6"/>
    <n v="1788.25"/>
    <n v="0.12618694090837332"/>
    <n v="4.666666666666667"/>
    <n v="0.16666666666666666"/>
  </r>
  <r>
    <x v="0"/>
    <x v="1"/>
    <x v="8"/>
    <n v="28"/>
    <n v="25"/>
    <n v="8022.25"/>
    <n v="0.16506914537125808"/>
    <n v="4.6785714285714288"/>
    <n v="0"/>
  </r>
  <r>
    <x v="0"/>
    <x v="2"/>
    <x v="8"/>
    <n v="31"/>
    <n v="31"/>
    <n v="12028.55"/>
    <n v="0.13965956649454991"/>
    <n v="4.7"/>
    <n v="3.2258064516129031E-2"/>
  </r>
  <r>
    <x v="0"/>
    <x v="3"/>
    <x v="8"/>
    <n v="21"/>
    <n v="21"/>
    <n v="24109.81"/>
    <n v="0.11791992904345852"/>
    <n v="3.7619047619047619"/>
    <n v="9.5238095238095233E-2"/>
  </r>
  <r>
    <x v="0"/>
    <x v="4"/>
    <x v="8"/>
    <n v="18"/>
    <n v="16"/>
    <n v="5727.35"/>
    <n v="0.14363134870673885"/>
    <n v="4.6111111111111107"/>
    <n v="0"/>
  </r>
  <r>
    <x v="0"/>
    <x v="5"/>
    <x v="8"/>
    <n v="23"/>
    <n v="23"/>
    <n v="10342.280000000001"/>
    <n v="0.15066507605985349"/>
    <n v="3.7272727272727275"/>
    <n v="0"/>
  </r>
  <r>
    <x v="0"/>
    <x v="6"/>
    <x v="8"/>
    <n v="34"/>
    <n v="33"/>
    <n v="5386.15"/>
    <n v="0.24632808262251502"/>
    <n v="3.7058823529411766"/>
    <n v="3.0303030303030304E-2"/>
  </r>
  <r>
    <x v="0"/>
    <x v="7"/>
    <x v="8"/>
    <n v="37"/>
    <n v="32"/>
    <n v="4871.1899999999996"/>
    <n v="0.25688814804351684"/>
    <n v="4.333333333333333"/>
    <n v="3.125E-2"/>
  </r>
  <r>
    <x v="0"/>
    <x v="8"/>
    <x v="8"/>
    <n v="33"/>
    <n v="32"/>
    <n v="11906.32"/>
    <n v="0.16833532260530171"/>
    <n v="4.1212121212121211"/>
    <n v="3.125E-2"/>
  </r>
  <r>
    <x v="0"/>
    <x v="9"/>
    <x v="8"/>
    <n v="32"/>
    <n v="30"/>
    <n v="7124.64"/>
    <n v="0.18584819153448001"/>
    <n v="4.4333333333333336"/>
    <n v="6.6666666666666666E-2"/>
  </r>
  <r>
    <x v="0"/>
    <x v="10"/>
    <x v="8"/>
    <n v="32"/>
    <n v="30"/>
    <n v="9135.25"/>
    <n v="0.15864076416165557"/>
    <n v="3.84375"/>
    <n v="6.6666666666666666E-2"/>
  </r>
  <r>
    <x v="0"/>
    <x v="11"/>
    <x v="8"/>
    <n v="29"/>
    <n v="28"/>
    <n v="9589.66"/>
    <n v="0.13045656268569156"/>
    <n v="3.7586206896551726"/>
    <n v="3.5714285714285712E-2"/>
  </r>
  <r>
    <x v="1"/>
    <x v="12"/>
    <x v="8"/>
    <n v="55"/>
    <n v="52"/>
    <n v="16841.77"/>
    <n v="0.12937674666705173"/>
    <n v="4.3636363636363633"/>
    <n v="3.8461538461538464E-2"/>
  </r>
  <r>
    <x v="1"/>
    <x v="13"/>
    <x v="8"/>
    <n v="33"/>
    <n v="30"/>
    <n v="6155.36"/>
    <n v="0.18778110927743841"/>
    <n v="4"/>
    <n v="0.1"/>
  </r>
  <r>
    <x v="1"/>
    <x v="14"/>
    <x v="8"/>
    <n v="37"/>
    <n v="36"/>
    <n v="15034.91"/>
    <n v="0.12323787938138375"/>
    <n v="3.8611111111111112"/>
    <n v="0.1111111111111111"/>
  </r>
  <r>
    <x v="1"/>
    <x v="15"/>
    <x v="8"/>
    <n v="67"/>
    <n v="61"/>
    <n v="13454.91"/>
    <n v="0.23370838622231996"/>
    <n v="4.3582089552238807"/>
    <n v="4.9180327868852458E-2"/>
  </r>
  <r>
    <x v="1"/>
    <x v="16"/>
    <x v="8"/>
    <n v="48"/>
    <n v="39"/>
    <n v="11507.33"/>
    <n v="0.20238016730669633"/>
    <n v="3.9583333333333335"/>
    <n v="0.10256410256410256"/>
  </r>
  <r>
    <x v="1"/>
    <x v="17"/>
    <x v="8"/>
    <n v="50"/>
    <n v="44"/>
    <n v="17190.080000000002"/>
    <n v="0.15434566317956894"/>
    <n v="3.8979591836734695"/>
    <n v="0"/>
  </r>
  <r>
    <x v="1"/>
    <x v="18"/>
    <x v="8"/>
    <n v="43"/>
    <n v="36"/>
    <n v="9782.44"/>
    <n v="0.21053287331944656"/>
    <n v="4.3488372093023253"/>
    <n v="2.7777777777777776E-2"/>
  </r>
  <r>
    <x v="1"/>
    <x v="19"/>
    <x v="8"/>
    <n v="25"/>
    <n v="25"/>
    <n v="7486"/>
    <n v="0.1814082701717625"/>
    <n v="4"/>
    <n v="0.04"/>
  </r>
  <r>
    <x v="0"/>
    <x v="2"/>
    <x v="9"/>
    <n v="1"/>
    <n v="1"/>
    <n v="91.23"/>
    <n v="0.17790200591910554"/>
    <n v="1"/>
    <n v="0"/>
  </r>
  <r>
    <x v="0"/>
    <x v="3"/>
    <x v="9"/>
    <n v="3"/>
    <n v="3"/>
    <n v="183.65"/>
    <n v="0.32797206916403848"/>
    <n v="4.666666666666667"/>
    <n v="0"/>
  </r>
  <r>
    <x v="0"/>
    <x v="4"/>
    <x v="9"/>
    <n v="4"/>
    <n v="3"/>
    <n v="775.94"/>
    <n v="0.44165145388949401"/>
    <n v="4.75"/>
    <n v="0"/>
  </r>
  <r>
    <x v="0"/>
    <x v="5"/>
    <x v="9"/>
    <n v="2"/>
    <n v="2"/>
    <n v="345.4"/>
    <n v="0.2001512209032896"/>
    <n v="3.5"/>
    <n v="0"/>
  </r>
  <r>
    <x v="0"/>
    <x v="6"/>
    <x v="9"/>
    <n v="6"/>
    <n v="5"/>
    <n v="684.79"/>
    <n v="0.28575970269079093"/>
    <n v="4.5999999999999996"/>
    <n v="0"/>
  </r>
  <r>
    <x v="0"/>
    <x v="7"/>
    <x v="9"/>
    <n v="4"/>
    <n v="4"/>
    <n v="443.47"/>
    <n v="0.17722447091631846"/>
    <n v="4.25"/>
    <n v="0.25"/>
  </r>
  <r>
    <x v="0"/>
    <x v="8"/>
    <x v="9"/>
    <n v="9"/>
    <n v="5"/>
    <n v="536.54999999999995"/>
    <n v="0.32833741557857404"/>
    <n v="4.666666666666667"/>
    <n v="0"/>
  </r>
  <r>
    <x v="0"/>
    <x v="9"/>
    <x v="9"/>
    <n v="10"/>
    <n v="7"/>
    <n v="907.7"/>
    <n v="0.36970386814293088"/>
    <n v="4.4444444444444446"/>
    <n v="0.14285714285714285"/>
  </r>
  <r>
    <x v="0"/>
    <x v="10"/>
    <x v="9"/>
    <n v="5"/>
    <n v="3"/>
    <n v="792.79"/>
    <n v="0.25236046812317464"/>
    <n v="1"/>
    <n v="0"/>
  </r>
  <r>
    <x v="0"/>
    <x v="11"/>
    <x v="9"/>
    <n v="2"/>
    <n v="2"/>
    <n v="842.44"/>
    <n v="0.12862439152096261"/>
    <n v="5"/>
    <n v="0"/>
  </r>
  <r>
    <x v="1"/>
    <x v="12"/>
    <x v="9"/>
    <n v="8"/>
    <n v="7"/>
    <n v="1295.97"/>
    <n v="0.2087069867286119"/>
    <n v="3.625"/>
    <n v="0.2857142857142857"/>
  </r>
  <r>
    <x v="1"/>
    <x v="13"/>
    <x v="9"/>
    <n v="15"/>
    <n v="10"/>
    <n v="987.67"/>
    <n v="0.31371874438984115"/>
    <n v="3.5714285714285716"/>
    <n v="0.1"/>
  </r>
  <r>
    <x v="1"/>
    <x v="14"/>
    <x v="9"/>
    <n v="9"/>
    <n v="7"/>
    <n v="1079.56"/>
    <n v="0.19774958745142657"/>
    <n v="3.8888888888888888"/>
    <n v="0.42857142857142855"/>
  </r>
  <r>
    <x v="1"/>
    <x v="15"/>
    <x v="9"/>
    <n v="36"/>
    <n v="22"/>
    <n v="2951.28"/>
    <n v="0.40095119022815773"/>
    <n v="4.166666666666667"/>
    <n v="0"/>
  </r>
  <r>
    <x v="1"/>
    <x v="16"/>
    <x v="9"/>
    <n v="7"/>
    <n v="6"/>
    <n v="862.99"/>
    <n v="0.2674774313107256"/>
    <n v="4"/>
    <n v="0"/>
  </r>
  <r>
    <x v="1"/>
    <x v="17"/>
    <x v="9"/>
    <n v="27"/>
    <n v="18"/>
    <n v="6940.76"/>
    <n v="0.20037780706741723"/>
    <n v="3.9629629629629628"/>
    <n v="0"/>
  </r>
  <r>
    <x v="1"/>
    <x v="18"/>
    <x v="9"/>
    <n v="29"/>
    <n v="19"/>
    <n v="6136.19"/>
    <n v="0.29435669125579245"/>
    <n v="4.2758620689655169"/>
    <n v="0"/>
  </r>
  <r>
    <x v="1"/>
    <x v="19"/>
    <x v="9"/>
    <n v="22"/>
    <n v="16"/>
    <n v="2158.67"/>
    <n v="0.19965175677945113"/>
    <n v="4.5"/>
    <n v="0"/>
  </r>
  <r>
    <x v="0"/>
    <x v="0"/>
    <x v="10"/>
    <n v="1"/>
    <n v="1"/>
    <n v="209.06"/>
    <n v="0.12326604802449058"/>
    <n v="4"/>
    <n v="0"/>
  </r>
  <r>
    <x v="0"/>
    <x v="8"/>
    <x v="10"/>
    <n v="1"/>
    <n v="1"/>
    <n v="115.45"/>
    <n v="0.13382416630576008"/>
    <n v="1"/>
    <n v="0"/>
  </r>
  <r>
    <x v="0"/>
    <x v="0"/>
    <x v="11"/>
    <n v="15"/>
    <n v="13"/>
    <n v="1182.3900000000001"/>
    <n v="0.29999887930992525"/>
    <n v="4.2"/>
    <n v="0"/>
  </r>
  <r>
    <x v="0"/>
    <x v="1"/>
    <x v="11"/>
    <n v="40"/>
    <n v="37"/>
    <n v="4510.88"/>
    <n v="0.2041468947625881"/>
    <n v="4.3250000000000002"/>
    <n v="0"/>
  </r>
  <r>
    <x v="0"/>
    <x v="2"/>
    <x v="11"/>
    <n v="45"/>
    <n v="41"/>
    <n v="9151.69"/>
    <n v="0.17407624321095411"/>
    <n v="4.333333333333333"/>
    <n v="7.3170731707317069E-2"/>
  </r>
  <r>
    <x v="0"/>
    <x v="3"/>
    <x v="11"/>
    <n v="51"/>
    <n v="46"/>
    <n v="7126.84"/>
    <n v="0.19902858774241172"/>
    <n v="4.04"/>
    <n v="8.6956521739130432E-2"/>
  </r>
  <r>
    <x v="0"/>
    <x v="4"/>
    <x v="11"/>
    <n v="73"/>
    <n v="66"/>
    <n v="9646.52"/>
    <n v="0.24039604247273935"/>
    <n v="4.4246575342465757"/>
    <n v="4.5454545454545456E-2"/>
  </r>
  <r>
    <x v="0"/>
    <x v="5"/>
    <x v="11"/>
    <n v="64"/>
    <n v="61"/>
    <n v="6445.03"/>
    <n v="0.21999482890389319"/>
    <n v="4.387096774193548"/>
    <n v="3.2786885245901641E-2"/>
  </r>
  <r>
    <x v="0"/>
    <x v="6"/>
    <x v="11"/>
    <n v="86"/>
    <n v="71"/>
    <n v="8318.98"/>
    <n v="0.23965115117775332"/>
    <n v="3.7209302325581395"/>
    <n v="2.8169014084507043E-2"/>
  </r>
  <r>
    <x v="0"/>
    <x v="7"/>
    <x v="11"/>
    <n v="90"/>
    <n v="76"/>
    <n v="12222.61"/>
    <n v="0.21536898985080166"/>
    <n v="4.2359550561797752"/>
    <n v="0"/>
  </r>
  <r>
    <x v="0"/>
    <x v="8"/>
    <x v="11"/>
    <n v="71"/>
    <n v="62"/>
    <n v="9875.16"/>
    <n v="0.19781634774859483"/>
    <n v="4.3"/>
    <n v="3.2258064516129031E-2"/>
  </r>
  <r>
    <x v="0"/>
    <x v="9"/>
    <x v="11"/>
    <n v="76"/>
    <n v="64"/>
    <n v="9623.98"/>
    <n v="0.19802602649507589"/>
    <n v="3.9078947368421053"/>
    <n v="7.8125E-2"/>
  </r>
  <r>
    <x v="0"/>
    <x v="10"/>
    <x v="11"/>
    <n v="99"/>
    <n v="84"/>
    <n v="13434.51"/>
    <n v="0.21393943409812788"/>
    <n v="4.2244897959183669"/>
    <n v="7.1428571428571425E-2"/>
  </r>
  <r>
    <x v="0"/>
    <x v="11"/>
    <x v="11"/>
    <n v="74"/>
    <n v="71"/>
    <n v="8757.26"/>
    <n v="0.20979661795235544"/>
    <n v="4.2054794520547949"/>
    <n v="9.8591549295774641E-2"/>
  </r>
  <r>
    <x v="1"/>
    <x v="12"/>
    <x v="11"/>
    <n v="90"/>
    <n v="77"/>
    <n v="12687.61"/>
    <n v="0.20831447684326515"/>
    <n v="4.0568181818181817"/>
    <n v="1.2987012987012988E-2"/>
  </r>
  <r>
    <x v="1"/>
    <x v="13"/>
    <x v="11"/>
    <n v="102"/>
    <n v="89"/>
    <n v="11740.76"/>
    <n v="0.19519253343335694"/>
    <n v="3.9801980198019802"/>
    <n v="0.12359550561797752"/>
  </r>
  <r>
    <x v="1"/>
    <x v="14"/>
    <x v="11"/>
    <n v="124"/>
    <n v="110"/>
    <n v="16345.24"/>
    <n v="0.20309608296961656"/>
    <n v="3.6693548387096775"/>
    <n v="0.2"/>
  </r>
  <r>
    <x v="1"/>
    <x v="15"/>
    <x v="11"/>
    <n v="170"/>
    <n v="153"/>
    <n v="22383.32"/>
    <n v="0.1952516142882732"/>
    <n v="4.1242603550295858"/>
    <n v="4.5751633986928102E-2"/>
  </r>
  <r>
    <x v="1"/>
    <x v="16"/>
    <x v="11"/>
    <n v="136"/>
    <n v="127"/>
    <n v="14084.07"/>
    <n v="0.2063575353092561"/>
    <n v="4.2370370370370374"/>
    <n v="4.7244094488188976E-2"/>
  </r>
  <r>
    <x v="1"/>
    <x v="17"/>
    <x v="11"/>
    <n v="178"/>
    <n v="151"/>
    <n v="23421.37"/>
    <n v="0.20973410986009264"/>
    <n v="4.382022471910112"/>
    <n v="6.6225165562913907E-3"/>
  </r>
  <r>
    <x v="1"/>
    <x v="18"/>
    <x v="11"/>
    <n v="160"/>
    <n v="140"/>
    <n v="23358.39"/>
    <n v="0.20882686664953193"/>
    <n v="4.3773584905660377"/>
    <n v="1.4285714285714285E-2"/>
  </r>
  <r>
    <x v="1"/>
    <x v="19"/>
    <x v="11"/>
    <n v="199"/>
    <n v="167"/>
    <n v="28784.18"/>
    <n v="0.19176856657476929"/>
    <n v="4.3768844221105532"/>
    <n v="6.5868263473053898E-2"/>
  </r>
  <r>
    <x v="0"/>
    <x v="0"/>
    <x v="12"/>
    <n v="34"/>
    <n v="29"/>
    <n v="5654.01"/>
    <n v="0.15440750345569795"/>
    <n v="4.8181818181818183"/>
    <n v="0"/>
  </r>
  <r>
    <x v="0"/>
    <x v="1"/>
    <x v="12"/>
    <n v="51"/>
    <n v="49"/>
    <n v="8944.2800000000007"/>
    <n v="0.16400869769710849"/>
    <n v="4.2352941176470589"/>
    <n v="4.0816326530612242E-2"/>
  </r>
  <r>
    <x v="0"/>
    <x v="2"/>
    <x v="12"/>
    <n v="106"/>
    <n v="104"/>
    <n v="21595.4"/>
    <n v="0.13512266034409362"/>
    <n v="4.1714285714285717"/>
    <n v="2.8846153846153848E-2"/>
  </r>
  <r>
    <x v="0"/>
    <x v="3"/>
    <x v="12"/>
    <n v="105"/>
    <n v="101"/>
    <n v="21648.98"/>
    <n v="0.1379065471606187"/>
    <n v="4.0480769230769234"/>
    <n v="0.10891089108910891"/>
  </r>
  <r>
    <x v="0"/>
    <x v="4"/>
    <x v="12"/>
    <n v="145"/>
    <n v="134"/>
    <n v="22397.27"/>
    <n v="0.13544415022918996"/>
    <n v="4.1338028169014089"/>
    <n v="6.7164179104477612E-2"/>
  </r>
  <r>
    <x v="0"/>
    <x v="5"/>
    <x v="12"/>
    <n v="156"/>
    <n v="146"/>
    <n v="27054.41"/>
    <n v="0.13386725976936215"/>
    <n v="4.0649350649350646"/>
    <n v="2.7397260273972601E-2"/>
  </r>
  <r>
    <x v="0"/>
    <x v="6"/>
    <x v="12"/>
    <n v="126"/>
    <n v="119"/>
    <n v="14775.53"/>
    <n v="0.16924666959748433"/>
    <n v="4.1840000000000002"/>
    <n v="5.8823529411764705E-2"/>
  </r>
  <r>
    <x v="0"/>
    <x v="7"/>
    <x v="12"/>
    <n v="128"/>
    <n v="118"/>
    <n v="15050.36"/>
    <n v="0.18159934594363136"/>
    <n v="4.4251968503937009"/>
    <n v="3.3898305084745763E-2"/>
  </r>
  <r>
    <x v="0"/>
    <x v="8"/>
    <x v="12"/>
    <n v="160"/>
    <n v="142"/>
    <n v="17064.05"/>
    <n v="0.19200058405003514"/>
    <n v="4.0187499999999998"/>
    <n v="5.6338028169014086E-2"/>
  </r>
  <r>
    <x v="0"/>
    <x v="9"/>
    <x v="12"/>
    <n v="189"/>
    <n v="177"/>
    <n v="20171.16"/>
    <n v="0.2166579620977187"/>
    <n v="4.2962962962962967"/>
    <n v="3.954802259887006E-2"/>
  </r>
  <r>
    <x v="0"/>
    <x v="10"/>
    <x v="12"/>
    <n v="313"/>
    <n v="293"/>
    <n v="36894.93"/>
    <n v="0.20210065585512665"/>
    <n v="3.9361022364217253"/>
    <n v="9.8976109215017066E-2"/>
  </r>
  <r>
    <x v="0"/>
    <x v="11"/>
    <x v="12"/>
    <n v="241"/>
    <n v="233"/>
    <n v="31594.52"/>
    <n v="0.17287251735805462"/>
    <n v="4.1392405063291138"/>
    <n v="3.8626609442060089E-2"/>
  </r>
  <r>
    <x v="1"/>
    <x v="12"/>
    <x v="12"/>
    <n v="230"/>
    <n v="213"/>
    <n v="23455.61"/>
    <n v="0.2174710220614455"/>
    <n v="4.0043668122270741"/>
    <n v="8.4507042253521125E-2"/>
  </r>
  <r>
    <x v="1"/>
    <x v="13"/>
    <x v="12"/>
    <n v="220"/>
    <n v="198"/>
    <n v="23932.16"/>
    <n v="0.19484663123375662"/>
    <n v="4.161290322580645"/>
    <n v="0.10101010101010101"/>
  </r>
  <r>
    <x v="1"/>
    <x v="14"/>
    <x v="12"/>
    <n v="202"/>
    <n v="186"/>
    <n v="23814.11"/>
    <n v="0.20660794352172213"/>
    <n v="3.8308457711442787"/>
    <n v="0.23118279569892472"/>
  </r>
  <r>
    <x v="1"/>
    <x v="15"/>
    <x v="12"/>
    <n v="175"/>
    <n v="160"/>
    <n v="20504.240000000002"/>
    <n v="0.21063624141083509"/>
    <n v="4.2057142857142855"/>
    <n v="1.8749999999999999E-2"/>
  </r>
  <r>
    <x v="1"/>
    <x v="16"/>
    <x v="12"/>
    <n v="198"/>
    <n v="180"/>
    <n v="27915.22"/>
    <n v="0.18439434325596066"/>
    <n v="4.2323232323232327"/>
    <n v="0.1"/>
  </r>
  <r>
    <x v="1"/>
    <x v="17"/>
    <x v="12"/>
    <n v="189"/>
    <n v="169"/>
    <n v="31001.59"/>
    <n v="0.16403731827246021"/>
    <n v="4.3191489361702127"/>
    <n v="1.7751479289940829E-2"/>
  </r>
  <r>
    <x v="1"/>
    <x v="18"/>
    <x v="12"/>
    <n v="205"/>
    <n v="174"/>
    <n v="25704.44"/>
    <n v="0.20074114452232192"/>
    <n v="4.5517241379310347"/>
    <n v="1.7241379310344827E-2"/>
  </r>
  <r>
    <x v="1"/>
    <x v="19"/>
    <x v="12"/>
    <n v="223"/>
    <n v="207"/>
    <n v="28660.53"/>
    <n v="0.1778517530364066"/>
    <n v="4.3013698630136989"/>
    <n v="7.7294685990338161E-2"/>
  </r>
  <r>
    <x v="0"/>
    <x v="6"/>
    <x v="13"/>
    <n v="1"/>
    <n v="1"/>
    <n v="83.41"/>
    <n v="0.16197098669224314"/>
    <n v="5"/>
    <n v="0"/>
  </r>
  <r>
    <x v="0"/>
    <x v="8"/>
    <x v="13"/>
    <n v="2"/>
    <n v="1"/>
    <n v="303.2"/>
    <n v="0.11015831134564644"/>
    <n v="1"/>
    <n v="0"/>
  </r>
  <r>
    <x v="0"/>
    <x v="9"/>
    <x v="13"/>
    <n v="2"/>
    <n v="2"/>
    <n v="163.87"/>
    <n v="0.15777689956990082"/>
    <n v="4.5"/>
    <n v="0"/>
  </r>
  <r>
    <x v="0"/>
    <x v="10"/>
    <x v="13"/>
    <n v="4"/>
    <n v="4"/>
    <n v="934.34"/>
    <n v="0.16467217989732799"/>
    <n v="3.75"/>
    <n v="0"/>
  </r>
  <r>
    <x v="0"/>
    <x v="11"/>
    <x v="13"/>
    <n v="2"/>
    <n v="2"/>
    <n v="549.91999999999996"/>
    <n v="6.3101062417928816E-2"/>
    <n v="5"/>
    <n v="0"/>
  </r>
  <r>
    <x v="1"/>
    <x v="12"/>
    <x v="13"/>
    <n v="2"/>
    <n v="2"/>
    <n v="170.26"/>
    <n v="0.20236881955152233"/>
    <n v="3.5"/>
    <n v="0"/>
  </r>
  <r>
    <x v="1"/>
    <x v="14"/>
    <x v="13"/>
    <n v="6"/>
    <n v="5"/>
    <n v="1070.29"/>
    <n v="0.25769519463460488"/>
    <n v="3.5"/>
    <n v="0"/>
  </r>
  <r>
    <x v="1"/>
    <x v="15"/>
    <x v="13"/>
    <n v="2"/>
    <n v="1"/>
    <n v="80.260000000000005"/>
    <n v="0.45427361076501371"/>
    <n v="1"/>
    <n v="0"/>
  </r>
  <r>
    <x v="1"/>
    <x v="16"/>
    <x v="13"/>
    <n v="4"/>
    <n v="3"/>
    <n v="170.44"/>
    <n v="0.40523724135887923"/>
    <n v="3"/>
    <n v="0"/>
  </r>
  <r>
    <x v="1"/>
    <x v="17"/>
    <x v="13"/>
    <n v="2"/>
    <n v="2"/>
    <n v="112.38"/>
    <n v="0.30482279071834362"/>
    <n v="5"/>
    <n v="0"/>
  </r>
  <r>
    <x v="1"/>
    <x v="18"/>
    <x v="13"/>
    <n v="2"/>
    <n v="2"/>
    <n v="84.36"/>
    <n v="0.30254251356544221"/>
    <n v="4.5"/>
    <n v="0"/>
  </r>
  <r>
    <x v="1"/>
    <x v="19"/>
    <x v="13"/>
    <n v="14"/>
    <n v="14"/>
    <n v="1590.42"/>
    <n v="0.23111413351943236"/>
    <n v="4.2857142857142856"/>
    <n v="0"/>
  </r>
  <r>
    <x v="0"/>
    <x v="0"/>
    <x v="14"/>
    <n v="10"/>
    <n v="7"/>
    <n v="1817.74"/>
    <n v="0.18637900959428647"/>
    <n v="2.8"/>
    <n v="0"/>
  </r>
  <r>
    <x v="0"/>
    <x v="1"/>
    <x v="14"/>
    <n v="63"/>
    <n v="53"/>
    <n v="13900"/>
    <n v="0.16578171222938318"/>
    <n v="3.5873015873015874"/>
    <n v="1.8867924528301886E-2"/>
  </r>
  <r>
    <x v="0"/>
    <x v="2"/>
    <x v="14"/>
    <n v="78"/>
    <n v="60"/>
    <n v="14463.49"/>
    <n v="0.1873837729932939"/>
    <n v="3.2"/>
    <n v="6.6666666666666666E-2"/>
  </r>
  <r>
    <x v="0"/>
    <x v="3"/>
    <x v="14"/>
    <n v="58"/>
    <n v="48"/>
    <n v="11164.03"/>
    <n v="0.16953200479599609"/>
    <n v="3.9482758620689653"/>
    <n v="0.10416666666666667"/>
  </r>
  <r>
    <x v="0"/>
    <x v="4"/>
    <x v="14"/>
    <n v="56"/>
    <n v="42"/>
    <n v="10019.709999999999"/>
    <n v="0.15856394224195383"/>
    <n v="3.7592592592592591"/>
    <n v="4.7619047619047616E-2"/>
  </r>
  <r>
    <x v="0"/>
    <x v="5"/>
    <x v="14"/>
    <n v="50"/>
    <n v="45"/>
    <n v="9095.7999999999993"/>
    <n v="0.202499904595518"/>
    <n v="3.92"/>
    <n v="2.2222222222222223E-2"/>
  </r>
  <r>
    <x v="0"/>
    <x v="6"/>
    <x v="14"/>
    <n v="115"/>
    <n v="97"/>
    <n v="21267.13"/>
    <n v="0.20634509325876044"/>
    <n v="4"/>
    <n v="5.1546391752577317E-2"/>
  </r>
  <r>
    <x v="0"/>
    <x v="7"/>
    <x v="14"/>
    <n v="58"/>
    <n v="46"/>
    <n v="12389.04"/>
    <n v="0.20978082044820662"/>
    <n v="3.8448275862068968"/>
    <n v="4.3478260869565216E-2"/>
  </r>
  <r>
    <x v="0"/>
    <x v="8"/>
    <x v="14"/>
    <n v="67"/>
    <n v="37"/>
    <n v="12250.42"/>
    <n v="0.20114463890192344"/>
    <n v="3.9253731343283582"/>
    <n v="0.21621621621621623"/>
  </r>
  <r>
    <x v="0"/>
    <x v="9"/>
    <x v="14"/>
    <n v="103"/>
    <n v="69"/>
    <n v="22179.88"/>
    <n v="0.17996863705562943"/>
    <n v="3.17"/>
    <n v="0.13043478260869565"/>
  </r>
  <r>
    <x v="0"/>
    <x v="10"/>
    <x v="14"/>
    <n v="102"/>
    <n v="76"/>
    <n v="22864.48"/>
    <n v="0.21487192685653791"/>
    <n v="2.9117647058823528"/>
    <n v="0.26315789473684209"/>
  </r>
  <r>
    <x v="0"/>
    <x v="11"/>
    <x v="14"/>
    <n v="49"/>
    <n v="39"/>
    <n v="8769.2800000000007"/>
    <n v="0.21365173895993425"/>
    <n v="3.3541666666666665"/>
    <n v="0.12820512820512819"/>
  </r>
  <r>
    <x v="1"/>
    <x v="12"/>
    <x v="14"/>
    <n v="145"/>
    <n v="106"/>
    <n v="25732.55"/>
    <n v="0.21960113812941082"/>
    <n v="3.183098591549296"/>
    <n v="0.18867924528301888"/>
  </r>
  <r>
    <x v="1"/>
    <x v="13"/>
    <x v="14"/>
    <n v="109"/>
    <n v="72"/>
    <n v="22011.040000000001"/>
    <n v="0.20274329410382391"/>
    <n v="3.0186915887850465"/>
    <n v="0.19444444444444445"/>
  </r>
  <r>
    <x v="1"/>
    <x v="14"/>
    <x v="14"/>
    <n v="202"/>
    <n v="151"/>
    <n v="39722.58"/>
    <n v="0.21610665883887464"/>
    <n v="3.2722772277227725"/>
    <n v="9.9337748344370855E-2"/>
  </r>
  <r>
    <x v="1"/>
    <x v="15"/>
    <x v="14"/>
    <n v="133"/>
    <n v="88"/>
    <n v="26494.799999999999"/>
    <n v="0.2329883203212334"/>
    <n v="3.5909090909090908"/>
    <n v="6.8181818181818177E-2"/>
  </r>
  <r>
    <x v="1"/>
    <x v="16"/>
    <x v="14"/>
    <n v="105"/>
    <n v="83"/>
    <n v="25355"/>
    <n v="0.1897898031632671"/>
    <n v="3.8857142857142857"/>
    <n v="6.0240963855421686E-2"/>
  </r>
  <r>
    <x v="1"/>
    <x v="17"/>
    <x v="14"/>
    <n v="77"/>
    <n v="60"/>
    <n v="16654.57"/>
    <n v="0.23478143090356082"/>
    <n v="3.6623376623376624"/>
    <n v="1.6666666666666666E-2"/>
  </r>
  <r>
    <x v="1"/>
    <x v="18"/>
    <x v="14"/>
    <n v="82"/>
    <n v="64"/>
    <n v="17388.52"/>
    <n v="0.21934590257758779"/>
    <n v="3.6962025316455698"/>
    <n v="0.125"/>
  </r>
  <r>
    <x v="1"/>
    <x v="19"/>
    <x v="14"/>
    <n v="30"/>
    <n v="24"/>
    <n v="8386.67"/>
    <n v="0.20424270645104359"/>
    <n v="4.0999999999999996"/>
    <n v="8.3333333333333329E-2"/>
  </r>
  <r>
    <x v="0"/>
    <x v="0"/>
    <x v="15"/>
    <n v="1"/>
    <n v="1"/>
    <n v="357.74"/>
    <n v="5.0315871862246321E-2"/>
    <n v="4"/>
    <n v="0"/>
  </r>
  <r>
    <x v="0"/>
    <x v="1"/>
    <x v="15"/>
    <n v="10"/>
    <n v="8"/>
    <n v="2501.11"/>
    <n v="0.22007429360363701"/>
    <n v="4.5"/>
    <n v="0"/>
  </r>
  <r>
    <x v="0"/>
    <x v="2"/>
    <x v="15"/>
    <n v="10"/>
    <n v="9"/>
    <n v="1887.51"/>
    <n v="0.32127984002414683"/>
    <n v="2.7"/>
    <n v="0.22222222222222221"/>
  </r>
  <r>
    <x v="0"/>
    <x v="3"/>
    <x v="15"/>
    <n v="16"/>
    <n v="16"/>
    <n v="4114.2700000000004"/>
    <n v="0.16545125110142792"/>
    <n v="3.8125"/>
    <n v="0.125"/>
  </r>
  <r>
    <x v="0"/>
    <x v="4"/>
    <x v="15"/>
    <n v="21"/>
    <n v="19"/>
    <n v="10534.16"/>
    <n v="0.14032519936095089"/>
    <n v="4.2857142857142856"/>
    <n v="0"/>
  </r>
  <r>
    <x v="0"/>
    <x v="5"/>
    <x v="15"/>
    <n v="20"/>
    <n v="17"/>
    <n v="5515.32"/>
    <n v="0.1565877416169125"/>
    <n v="3.75"/>
    <n v="5.8823529411764705E-2"/>
  </r>
  <r>
    <x v="0"/>
    <x v="6"/>
    <x v="15"/>
    <n v="32"/>
    <n v="28"/>
    <n v="9223.92"/>
    <n v="0.15066439378950203"/>
    <n v="4.258064516129032"/>
    <n v="7.1428571428571425E-2"/>
  </r>
  <r>
    <x v="0"/>
    <x v="7"/>
    <x v="15"/>
    <n v="27"/>
    <n v="24"/>
    <n v="7830.32"/>
    <n v="0.18639263060958269"/>
    <n v="3.8888888888888888"/>
    <n v="4.1666666666666664E-2"/>
  </r>
  <r>
    <x v="0"/>
    <x v="8"/>
    <x v="15"/>
    <n v="28"/>
    <n v="24"/>
    <n v="9709.5499999999993"/>
    <n v="0.14217174833325036"/>
    <n v="4.2592592592592595"/>
    <n v="0"/>
  </r>
  <r>
    <x v="0"/>
    <x v="9"/>
    <x v="15"/>
    <n v="27"/>
    <n v="22"/>
    <n v="7437.81"/>
    <n v="0.20356626391304691"/>
    <n v="4.2592592592592595"/>
    <n v="4.5454545454545456E-2"/>
  </r>
  <r>
    <x v="0"/>
    <x v="10"/>
    <x v="15"/>
    <n v="49"/>
    <n v="44"/>
    <n v="17895.62"/>
    <n v="0.16766340333509544"/>
    <n v="3.8163265306122449"/>
    <n v="9.0909090909090912E-2"/>
  </r>
  <r>
    <x v="0"/>
    <x v="11"/>
    <x v="15"/>
    <n v="42"/>
    <n v="41"/>
    <n v="11689.59"/>
    <n v="0.14859429418574602"/>
    <n v="3.9750000000000001"/>
    <n v="0.1951219512195122"/>
  </r>
  <r>
    <x v="1"/>
    <x v="12"/>
    <x v="15"/>
    <n v="53"/>
    <n v="51"/>
    <n v="16745.32"/>
    <n v="0.16060900247199242"/>
    <n v="4.1698113207547172"/>
    <n v="3.9215686274509803E-2"/>
  </r>
  <r>
    <x v="1"/>
    <x v="13"/>
    <x v="15"/>
    <n v="44"/>
    <n v="39"/>
    <n v="10064.379999999999"/>
    <n v="0.17407174448791043"/>
    <n v="3.9545454545454546"/>
    <n v="0.23076923076923078"/>
  </r>
  <r>
    <x v="1"/>
    <x v="14"/>
    <x v="15"/>
    <n v="55"/>
    <n v="51"/>
    <n v="12125.77"/>
    <n v="0.18905122971635627"/>
    <n v="4.1090909090909093"/>
    <n v="0.13725490196078433"/>
  </r>
  <r>
    <x v="1"/>
    <x v="15"/>
    <x v="15"/>
    <n v="60"/>
    <n v="57"/>
    <n v="21176.37"/>
    <n v="0.16545598418950078"/>
    <n v="4.3666666666666671"/>
    <n v="1.7543859649122806E-2"/>
  </r>
  <r>
    <x v="1"/>
    <x v="16"/>
    <x v="15"/>
    <n v="61"/>
    <n v="59"/>
    <n v="20537.04"/>
    <n v="0.16619118240437727"/>
    <n v="4.3114754098360653"/>
    <n v="5.0847457627118647E-2"/>
  </r>
  <r>
    <x v="1"/>
    <x v="17"/>
    <x v="15"/>
    <n v="47"/>
    <n v="46"/>
    <n v="17970.759999999998"/>
    <n v="0.16435755022515017"/>
    <n v="4.4565217391304346"/>
    <n v="2.1739130434782608E-2"/>
  </r>
  <r>
    <x v="1"/>
    <x v="18"/>
    <x v="15"/>
    <n v="37"/>
    <n v="33"/>
    <n v="11151.22"/>
    <n v="0.20941833857506656"/>
    <n v="4.3888888888888893"/>
    <n v="3.0303030303030304E-2"/>
  </r>
  <r>
    <x v="1"/>
    <x v="19"/>
    <x v="15"/>
    <n v="41"/>
    <n v="39"/>
    <n v="11705.45"/>
    <n v="0.21481500475535328"/>
    <n v="4.3658536585365857"/>
    <n v="7.6923076923076927E-2"/>
  </r>
  <r>
    <x v="0"/>
    <x v="0"/>
    <x v="16"/>
    <n v="2"/>
    <n v="2"/>
    <n v="37.24"/>
    <n v="0.46831364124597208"/>
    <n v="5"/>
    <n v="0"/>
  </r>
  <r>
    <x v="0"/>
    <x v="2"/>
    <x v="16"/>
    <n v="1"/>
    <n v="1"/>
    <n v="42.51"/>
    <n v="0.34156669019054342"/>
    <n v="5"/>
    <n v="0"/>
  </r>
  <r>
    <x v="0"/>
    <x v="3"/>
    <x v="16"/>
    <n v="2"/>
    <n v="2"/>
    <n v="88.84"/>
    <n v="0.33107455925570717"/>
    <n v="5"/>
    <n v="0"/>
  </r>
  <r>
    <x v="0"/>
    <x v="5"/>
    <x v="16"/>
    <n v="4"/>
    <n v="4"/>
    <n v="1141.1199999999999"/>
    <n v="8.6076284012337093E-2"/>
    <n v="3.25"/>
    <n v="0.25"/>
  </r>
  <r>
    <x v="0"/>
    <x v="6"/>
    <x v="16"/>
    <n v="1"/>
    <n v="1"/>
    <n v="350.54"/>
    <n v="6.144805157756604E-2"/>
    <n v="3"/>
    <n v="0"/>
  </r>
  <r>
    <x v="0"/>
    <x v="9"/>
    <x v="16"/>
    <n v="1"/>
    <n v="1"/>
    <n v="70.03"/>
    <n v="0.21605026417249751"/>
    <n v="5"/>
    <n v="0"/>
  </r>
  <r>
    <x v="1"/>
    <x v="12"/>
    <x v="16"/>
    <n v="1"/>
    <n v="1"/>
    <n v="40.07"/>
    <n v="0.3768405290741203"/>
    <n v="5"/>
    <n v="0"/>
  </r>
  <r>
    <x v="1"/>
    <x v="13"/>
    <x v="16"/>
    <n v="2"/>
    <n v="2"/>
    <n v="277.24"/>
    <n v="0.22461792865984126"/>
    <n v="3"/>
    <n v="0"/>
  </r>
  <r>
    <x v="1"/>
    <x v="14"/>
    <x v="16"/>
    <n v="2"/>
    <n v="2"/>
    <n v="362.36"/>
    <n v="0.22530986088111762"/>
    <n v="3"/>
    <n v="0"/>
  </r>
  <r>
    <x v="1"/>
    <x v="15"/>
    <x v="16"/>
    <n v="5"/>
    <n v="5"/>
    <n v="1842.06"/>
    <n v="0.18562529429086347"/>
    <n v="4"/>
    <n v="0.2"/>
  </r>
  <r>
    <x v="1"/>
    <x v="16"/>
    <x v="16"/>
    <n v="5"/>
    <n v="5"/>
    <n v="827.4"/>
    <n v="0.20637972913197"/>
    <n v="3.8"/>
    <n v="0"/>
  </r>
  <r>
    <x v="1"/>
    <x v="17"/>
    <x v="16"/>
    <n v="3"/>
    <n v="3"/>
    <n v="169.56"/>
    <n v="0.43556155348382275"/>
    <n v="4.333333333333333"/>
    <n v="0"/>
  </r>
  <r>
    <x v="1"/>
    <x v="18"/>
    <x v="16"/>
    <n v="3"/>
    <n v="3"/>
    <n v="893.28"/>
    <n v="0.17989232082990259"/>
    <n v="5"/>
    <n v="0"/>
  </r>
  <r>
    <x v="1"/>
    <x v="19"/>
    <x v="16"/>
    <n v="6"/>
    <n v="6"/>
    <n v="582.61"/>
    <n v="0.27711873856135588"/>
    <n v="4.666666666666667"/>
    <n v="0"/>
  </r>
  <r>
    <x v="0"/>
    <x v="0"/>
    <x v="17"/>
    <n v="6"/>
    <n v="6"/>
    <n v="548.22"/>
    <n v="0.2656097614159878"/>
    <n v="3.6666666666666665"/>
    <n v="0"/>
  </r>
  <r>
    <x v="0"/>
    <x v="1"/>
    <x v="17"/>
    <n v="22"/>
    <n v="19"/>
    <n v="2122.5"/>
    <n v="0.27088477216439294"/>
    <n v="4.0476190476190474"/>
    <n v="0"/>
  </r>
  <r>
    <x v="0"/>
    <x v="2"/>
    <x v="17"/>
    <n v="17"/>
    <n v="17"/>
    <n v="2075.96"/>
    <n v="0.16982801374887352"/>
    <n v="4.4117647058823533"/>
    <n v="5.8823529411764705E-2"/>
  </r>
  <r>
    <x v="0"/>
    <x v="3"/>
    <x v="17"/>
    <n v="20"/>
    <n v="20"/>
    <n v="4538.03"/>
    <n v="0.18363164388667549"/>
    <n v="3.75"/>
    <n v="0"/>
  </r>
  <r>
    <x v="0"/>
    <x v="4"/>
    <x v="17"/>
    <n v="22"/>
    <n v="21"/>
    <n v="2859.28"/>
    <n v="0.18607841774042344"/>
    <n v="4.5"/>
    <n v="0"/>
  </r>
  <r>
    <x v="0"/>
    <x v="5"/>
    <x v="17"/>
    <n v="16"/>
    <n v="15"/>
    <n v="1491.86"/>
    <n v="0.18713935990004499"/>
    <n v="3.6666666666666665"/>
    <n v="6.6666666666666666E-2"/>
  </r>
  <r>
    <x v="0"/>
    <x v="6"/>
    <x v="17"/>
    <n v="13"/>
    <n v="13"/>
    <n v="1799.95"/>
    <n v="0.18330803295123446"/>
    <n v="3.6923076923076925"/>
    <n v="0"/>
  </r>
  <r>
    <x v="0"/>
    <x v="7"/>
    <x v="17"/>
    <n v="23"/>
    <n v="22"/>
    <n v="2360.9299999999998"/>
    <n v="0.21176936666323506"/>
    <n v="4.1739130434782608"/>
    <n v="0"/>
  </r>
  <r>
    <x v="0"/>
    <x v="8"/>
    <x v="17"/>
    <n v="11"/>
    <n v="11"/>
    <n v="1349.62"/>
    <n v="0.1906254199318442"/>
    <n v="3.8181818181818183"/>
    <n v="0"/>
  </r>
  <r>
    <x v="0"/>
    <x v="9"/>
    <x v="17"/>
    <n v="11"/>
    <n v="10"/>
    <n v="1178.1199999999999"/>
    <n v="0.22046552953796236"/>
    <n v="3.9"/>
    <n v="0.1"/>
  </r>
  <r>
    <x v="0"/>
    <x v="10"/>
    <x v="17"/>
    <n v="16"/>
    <n v="11"/>
    <n v="1682.61"/>
    <n v="0.28371530389950861"/>
    <n v="4.375"/>
    <n v="0"/>
  </r>
  <r>
    <x v="0"/>
    <x v="11"/>
    <x v="17"/>
    <n v="14"/>
    <n v="13"/>
    <n v="884.26"/>
    <n v="0.2592947051617448"/>
    <n v="4.2307692307692308"/>
    <n v="0"/>
  </r>
  <r>
    <x v="1"/>
    <x v="12"/>
    <x v="17"/>
    <n v="14"/>
    <n v="12"/>
    <n v="1046.76"/>
    <n v="0.25171009162429397"/>
    <n v="4.2142857142857144"/>
    <n v="0"/>
  </r>
  <r>
    <x v="1"/>
    <x v="13"/>
    <x v="17"/>
    <n v="28"/>
    <n v="20"/>
    <n v="2366.34"/>
    <n v="0.2407832529159315"/>
    <n v="3.8214285714285716"/>
    <n v="0.1"/>
  </r>
  <r>
    <x v="1"/>
    <x v="14"/>
    <x v="17"/>
    <n v="17"/>
    <n v="16"/>
    <n v="1855.19"/>
    <n v="0.21801100830611625"/>
    <n v="3.3529411764705883"/>
    <n v="0.25"/>
  </r>
  <r>
    <x v="1"/>
    <x v="15"/>
    <x v="17"/>
    <n v="15"/>
    <n v="15"/>
    <n v="844.83"/>
    <n v="0.28630160647936126"/>
    <n v="4.5999999999999996"/>
    <n v="0"/>
  </r>
  <r>
    <x v="1"/>
    <x v="16"/>
    <x v="17"/>
    <n v="14"/>
    <n v="13"/>
    <n v="1186.79"/>
    <n v="0.24590711175966207"/>
    <n v="3.4285714285714284"/>
    <n v="7.6923076923076927E-2"/>
  </r>
  <r>
    <x v="1"/>
    <x v="17"/>
    <x v="17"/>
    <n v="7"/>
    <n v="7"/>
    <n v="678.79"/>
    <n v="0.2273260540071072"/>
    <n v="3.8571428571428572"/>
    <n v="0"/>
  </r>
  <r>
    <x v="1"/>
    <x v="18"/>
    <x v="17"/>
    <n v="4"/>
    <n v="4"/>
    <n v="277.33999999999997"/>
    <n v="0.32176906535542521"/>
    <n v="4.75"/>
    <n v="0"/>
  </r>
  <r>
    <x v="1"/>
    <x v="19"/>
    <x v="17"/>
    <n v="8"/>
    <n v="8"/>
    <n v="1107.97"/>
    <n v="0.1515524425527193"/>
    <n v="3.75"/>
    <n v="0.125"/>
  </r>
  <r>
    <x v="0"/>
    <x v="0"/>
    <x v="18"/>
    <n v="5"/>
    <n v="4"/>
    <n v="565.38"/>
    <n v="0.15708618620021578"/>
    <n v="4.8"/>
    <n v="0.25"/>
  </r>
  <r>
    <x v="0"/>
    <x v="1"/>
    <x v="18"/>
    <n v="21"/>
    <n v="20"/>
    <n v="2136.16"/>
    <n v="0.21048848825807678"/>
    <n v="4.333333333333333"/>
    <n v="0"/>
  </r>
  <r>
    <x v="0"/>
    <x v="2"/>
    <x v="18"/>
    <n v="38"/>
    <n v="35"/>
    <n v="7378.39"/>
    <n v="0.19898003067348402"/>
    <n v="4.5789473684210522"/>
    <n v="2.8571428571428571E-2"/>
  </r>
  <r>
    <x v="0"/>
    <x v="3"/>
    <x v="18"/>
    <n v="49"/>
    <n v="47"/>
    <n v="8639.74"/>
    <n v="0.17593359467206934"/>
    <n v="4.4255319148936172"/>
    <n v="4.2553191489361701E-2"/>
  </r>
  <r>
    <x v="0"/>
    <x v="4"/>
    <x v="18"/>
    <n v="70"/>
    <n v="64"/>
    <n v="14860.09"/>
    <n v="0.17702552140277467"/>
    <n v="4.2571428571428571"/>
    <n v="1.5625E-2"/>
  </r>
  <r>
    <x v="0"/>
    <x v="5"/>
    <x v="18"/>
    <n v="61"/>
    <n v="60"/>
    <n v="10294.040000000001"/>
    <n v="0.21350040945087859"/>
    <n v="4.442622950819672"/>
    <n v="3.3333333333333333E-2"/>
  </r>
  <r>
    <x v="0"/>
    <x v="6"/>
    <x v="18"/>
    <n v="74"/>
    <n v="73"/>
    <n v="10305.01"/>
    <n v="0.19516194401982981"/>
    <n v="4.3561643835616435"/>
    <n v="6.8493150684931503E-2"/>
  </r>
  <r>
    <x v="0"/>
    <x v="7"/>
    <x v="18"/>
    <n v="63"/>
    <n v="58"/>
    <n v="8510.77"/>
    <n v="0.20808660554752781"/>
    <n v="4.4444444444444446"/>
    <n v="3.4482758620689655E-2"/>
  </r>
  <r>
    <x v="0"/>
    <x v="8"/>
    <x v="18"/>
    <n v="42"/>
    <n v="41"/>
    <n v="4859.6899999999996"/>
    <n v="0.21798202041860526"/>
    <n v="4.5476190476190474"/>
    <n v="4.878048780487805E-2"/>
  </r>
  <r>
    <x v="0"/>
    <x v="9"/>
    <x v="18"/>
    <n v="56"/>
    <n v="52"/>
    <n v="7717.36"/>
    <n v="0.19741241987276711"/>
    <n v="4.5178571428571432"/>
    <n v="0"/>
  </r>
  <r>
    <x v="0"/>
    <x v="10"/>
    <x v="18"/>
    <n v="72"/>
    <n v="65"/>
    <n v="10796.04"/>
    <n v="0.22453330441894812"/>
    <n v="4.2777777777777777"/>
    <n v="3.0769230769230771E-2"/>
  </r>
  <r>
    <x v="0"/>
    <x v="11"/>
    <x v="18"/>
    <n v="47"/>
    <n v="45"/>
    <n v="7437.89"/>
    <n v="0.16125878100994234"/>
    <n v="4.3191489361702127"/>
    <n v="2.2222222222222223E-2"/>
  </r>
  <r>
    <x v="1"/>
    <x v="12"/>
    <x v="18"/>
    <n v="128"/>
    <n v="123"/>
    <n v="22077.68"/>
    <n v="0.16514359021692723"/>
    <n v="4.1328125"/>
    <n v="5.6910569105691054E-2"/>
  </r>
  <r>
    <x v="1"/>
    <x v="13"/>
    <x v="18"/>
    <n v="47"/>
    <n v="45"/>
    <n v="7783.94"/>
    <n v="0.18705279659827512"/>
    <n v="3.5"/>
    <n v="0.1111111111111111"/>
  </r>
  <r>
    <x v="1"/>
    <x v="14"/>
    <x v="18"/>
    <n v="57"/>
    <n v="52"/>
    <n v="7406.85"/>
    <n v="0.23074060012954256"/>
    <n v="4.25"/>
    <n v="0.13461538461538461"/>
  </r>
  <r>
    <x v="1"/>
    <x v="15"/>
    <x v="18"/>
    <n v="57"/>
    <n v="53"/>
    <n v="10272.07"/>
    <n v="0.18720416264889617"/>
    <n v="4.4385964912280702"/>
    <n v="3.7735849056603772E-2"/>
  </r>
  <r>
    <x v="1"/>
    <x v="16"/>
    <x v="18"/>
    <n v="49"/>
    <n v="44"/>
    <n v="8245.49"/>
    <n v="0.22419894489799053"/>
    <n v="4.229166666666667"/>
    <n v="4.5454545454545456E-2"/>
  </r>
  <r>
    <x v="1"/>
    <x v="17"/>
    <x v="18"/>
    <n v="36"/>
    <n v="36"/>
    <n v="6138.72"/>
    <n v="0.19324659264909699"/>
    <n v="4.4722222222222223"/>
    <n v="0"/>
  </r>
  <r>
    <x v="1"/>
    <x v="18"/>
    <x v="18"/>
    <n v="54"/>
    <n v="53"/>
    <n v="7193.09"/>
    <n v="0.20567561686180527"/>
    <n v="4.3703703703703702"/>
    <n v="1.8867924528301886E-2"/>
  </r>
  <r>
    <x v="1"/>
    <x v="19"/>
    <x v="18"/>
    <n v="66"/>
    <n v="64"/>
    <n v="8256.81"/>
    <n v="0.18897898621314013"/>
    <n v="4.333333333333333"/>
    <n v="3.125E-2"/>
  </r>
  <r>
    <x v="0"/>
    <x v="3"/>
    <x v="19"/>
    <n v="1"/>
    <n v="1"/>
    <n v="34.81"/>
    <n v="0.31054294742889976"/>
    <n v="1"/>
    <n v="0"/>
  </r>
  <r>
    <x v="0"/>
    <x v="4"/>
    <x v="19"/>
    <n v="1"/>
    <n v="1"/>
    <n v="232.19"/>
    <n v="0.16878418536543349"/>
    <n v="5"/>
    <n v="0"/>
  </r>
  <r>
    <x v="0"/>
    <x v="6"/>
    <x v="19"/>
    <n v="4"/>
    <n v="4"/>
    <n v="559.23"/>
    <n v="0.15762229801755773"/>
    <n v="5"/>
    <n v="0"/>
  </r>
  <r>
    <x v="0"/>
    <x v="7"/>
    <x v="19"/>
    <n v="2"/>
    <n v="2"/>
    <n v="373.52"/>
    <n v="0.15853456794677848"/>
    <n v="5"/>
    <n v="0"/>
  </r>
  <r>
    <x v="0"/>
    <x v="9"/>
    <x v="19"/>
    <n v="1"/>
    <n v="1"/>
    <n v="160.83000000000001"/>
    <n v="0.14816887396629982"/>
    <n v="5"/>
    <n v="0"/>
  </r>
  <r>
    <x v="0"/>
    <x v="10"/>
    <x v="19"/>
    <n v="1"/>
    <n v="1"/>
    <n v="137.11000000000001"/>
    <n v="8.0227554518270006E-4"/>
    <m/>
    <n v="0"/>
  </r>
  <r>
    <x v="1"/>
    <x v="12"/>
    <x v="19"/>
    <n v="1"/>
    <n v="1"/>
    <n v="130.03"/>
    <n v="0.13866030915942476"/>
    <n v="5"/>
    <n v="0"/>
  </r>
  <r>
    <x v="1"/>
    <x v="14"/>
    <x v="19"/>
    <n v="1"/>
    <n v="1"/>
    <n v="426.7"/>
    <n v="8.8352472463088819E-2"/>
    <n v="4"/>
    <n v="0"/>
  </r>
  <r>
    <x v="1"/>
    <x v="15"/>
    <x v="19"/>
    <n v="2"/>
    <n v="1"/>
    <n v="334.12"/>
    <n v="0.16197773255117923"/>
    <n v="1"/>
    <n v="0"/>
  </r>
  <r>
    <x v="0"/>
    <x v="0"/>
    <x v="20"/>
    <n v="1"/>
    <n v="1"/>
    <n v="128.19999999999999"/>
    <n v="0.1419656786271451"/>
    <m/>
    <n v="0"/>
  </r>
  <r>
    <x v="0"/>
    <x v="1"/>
    <x v="20"/>
    <n v="2"/>
    <n v="2"/>
    <n v="178.33"/>
    <n v="0.26308673252051562"/>
    <n v="4"/>
    <n v="0"/>
  </r>
  <r>
    <x v="0"/>
    <x v="2"/>
    <x v="20"/>
    <n v="3"/>
    <n v="3"/>
    <n v="169.05"/>
    <n v="0.33069724088332253"/>
    <n v="4"/>
    <n v="0"/>
  </r>
  <r>
    <x v="0"/>
    <x v="3"/>
    <x v="20"/>
    <n v="9"/>
    <n v="8"/>
    <n v="1282.0999999999999"/>
    <n v="0.34096854372729246"/>
    <n v="3.8888888888888888"/>
    <n v="0"/>
  </r>
  <r>
    <x v="0"/>
    <x v="4"/>
    <x v="20"/>
    <n v="9"/>
    <n v="9"/>
    <n v="1637.21"/>
    <n v="0.34140865399702308"/>
    <n v="4.1111111111111107"/>
    <n v="0"/>
  </r>
  <r>
    <x v="0"/>
    <x v="5"/>
    <x v="20"/>
    <n v="4"/>
    <n v="4"/>
    <n v="542.59"/>
    <n v="0.35820163766208435"/>
    <n v="4.75"/>
    <n v="0"/>
  </r>
  <r>
    <x v="0"/>
    <x v="6"/>
    <x v="20"/>
    <n v="11"/>
    <n v="9"/>
    <n v="1657.56"/>
    <n v="0.24310818716125834"/>
    <n v="4.4545454545454541"/>
    <n v="0"/>
  </r>
  <r>
    <x v="0"/>
    <x v="7"/>
    <x v="20"/>
    <n v="7"/>
    <n v="7"/>
    <n v="1231.29"/>
    <n v="0.19826130934495639"/>
    <n v="3.8571428571428572"/>
    <n v="0"/>
  </r>
  <r>
    <x v="0"/>
    <x v="8"/>
    <x v="20"/>
    <n v="5"/>
    <n v="5"/>
    <n v="602.66"/>
    <n v="0.24532094045314792"/>
    <n v="4"/>
    <n v="0"/>
  </r>
  <r>
    <x v="0"/>
    <x v="9"/>
    <x v="20"/>
    <n v="16"/>
    <n v="14"/>
    <n v="4295.41"/>
    <n v="0.2083826163025681"/>
    <n v="3.6666666666666665"/>
    <n v="7.1428571428571425E-2"/>
  </r>
  <r>
    <x v="0"/>
    <x v="10"/>
    <x v="20"/>
    <n v="33"/>
    <n v="28"/>
    <n v="6387.13"/>
    <n v="0.25198407540157336"/>
    <n v="3.9393939393939394"/>
    <n v="0.14285714285714285"/>
  </r>
  <r>
    <x v="0"/>
    <x v="11"/>
    <x v="20"/>
    <n v="20"/>
    <n v="16"/>
    <n v="5265.02"/>
    <n v="0.22421421298513031"/>
    <n v="3.9"/>
    <n v="6.25E-2"/>
  </r>
  <r>
    <x v="1"/>
    <x v="12"/>
    <x v="20"/>
    <n v="21"/>
    <n v="20"/>
    <n v="5949.22"/>
    <n v="0.23922715328204092"/>
    <n v="4.4761904761904763"/>
    <n v="0.05"/>
  </r>
  <r>
    <x v="1"/>
    <x v="13"/>
    <x v="20"/>
    <n v="20"/>
    <n v="17"/>
    <n v="5699.14"/>
    <n v="0.23376840787961758"/>
    <n v="4.2"/>
    <n v="0.11764705882352941"/>
  </r>
  <r>
    <x v="1"/>
    <x v="14"/>
    <x v="20"/>
    <n v="12"/>
    <n v="12"/>
    <n v="3602.02"/>
    <n v="0.26903863968589198"/>
    <n v="3.9166666666666665"/>
    <n v="0.25"/>
  </r>
  <r>
    <x v="1"/>
    <x v="15"/>
    <x v="20"/>
    <n v="20"/>
    <n v="19"/>
    <n v="4288.1899999999996"/>
    <n v="0.2377003006460604"/>
    <n v="4.1578947368421053"/>
    <n v="0"/>
  </r>
  <r>
    <x v="1"/>
    <x v="16"/>
    <x v="20"/>
    <n v="13"/>
    <n v="10"/>
    <n v="2861.28"/>
    <n v="0.20414098040263223"/>
    <n v="3.6153846153846154"/>
    <n v="0"/>
  </r>
  <r>
    <x v="1"/>
    <x v="17"/>
    <x v="20"/>
    <n v="30"/>
    <n v="22"/>
    <n v="4742.2"/>
    <n v="0.22994581264130989"/>
    <n v="2.9333333333333331"/>
    <n v="0"/>
  </r>
  <r>
    <x v="1"/>
    <x v="18"/>
    <x v="20"/>
    <n v="23"/>
    <n v="21"/>
    <n v="4886.72"/>
    <n v="0.2403267273530908"/>
    <n v="4.6956521739130439"/>
    <n v="0"/>
  </r>
  <r>
    <x v="1"/>
    <x v="19"/>
    <x v="20"/>
    <n v="21"/>
    <n v="20"/>
    <n v="2756.02"/>
    <n v="0.22493714168099255"/>
    <n v="4.45"/>
    <n v="0"/>
  </r>
  <r>
    <x v="0"/>
    <x v="1"/>
    <x v="21"/>
    <n v="1"/>
    <n v="1"/>
    <n v="134.94"/>
    <n v="0.11812657477397362"/>
    <n v="5"/>
    <n v="0"/>
  </r>
  <r>
    <x v="0"/>
    <x v="2"/>
    <x v="21"/>
    <n v="2"/>
    <n v="2"/>
    <n v="282.02999999999997"/>
    <n v="0.15606632288220829"/>
    <n v="4"/>
    <n v="0"/>
  </r>
  <r>
    <x v="0"/>
    <x v="4"/>
    <x v="21"/>
    <n v="2"/>
    <n v="2"/>
    <n v="552.22"/>
    <n v="7.3253627120023548E-2"/>
    <n v="3"/>
    <n v="0"/>
  </r>
  <r>
    <x v="0"/>
    <x v="5"/>
    <x v="21"/>
    <n v="2"/>
    <n v="2"/>
    <n v="342.17"/>
    <n v="0.18734343447946317"/>
    <n v="4.5"/>
    <n v="0"/>
  </r>
  <r>
    <x v="0"/>
    <x v="6"/>
    <x v="21"/>
    <n v="2"/>
    <n v="2"/>
    <n v="352.25"/>
    <n v="0.2603897831527896"/>
    <n v="5"/>
    <n v="0"/>
  </r>
  <r>
    <x v="0"/>
    <x v="7"/>
    <x v="21"/>
    <n v="3"/>
    <n v="3"/>
    <n v="1043.95"/>
    <n v="0.15488992786501557"/>
    <n v="4"/>
    <n v="0"/>
  </r>
  <r>
    <x v="0"/>
    <x v="8"/>
    <x v="21"/>
    <n v="2"/>
    <n v="2"/>
    <n v="251.71"/>
    <n v="0.12605119764293538"/>
    <n v="5"/>
    <n v="0"/>
  </r>
  <r>
    <x v="0"/>
    <x v="9"/>
    <x v="21"/>
    <n v="5"/>
    <n v="5"/>
    <n v="2468.1799999999998"/>
    <n v="0.20621114194710491"/>
    <n v="4.8"/>
    <n v="0"/>
  </r>
  <r>
    <x v="0"/>
    <x v="10"/>
    <x v="21"/>
    <n v="7"/>
    <n v="7"/>
    <n v="2350.58"/>
    <n v="0.17511218394428354"/>
    <n v="4"/>
    <n v="0"/>
  </r>
  <r>
    <x v="0"/>
    <x v="11"/>
    <x v="21"/>
    <n v="9"/>
    <n v="9"/>
    <n v="2009.86"/>
    <n v="0.1323431953551312"/>
    <n v="3.7777777777777777"/>
    <n v="0.1111111111111111"/>
  </r>
  <r>
    <x v="1"/>
    <x v="12"/>
    <x v="21"/>
    <n v="19"/>
    <n v="16"/>
    <n v="4467.45"/>
    <n v="0.21039490121651092"/>
    <n v="4"/>
    <n v="0"/>
  </r>
  <r>
    <x v="1"/>
    <x v="13"/>
    <x v="21"/>
    <n v="37"/>
    <n v="29"/>
    <n v="5521.5"/>
    <n v="0.19055193904922765"/>
    <n v="4.0571428571428569"/>
    <n v="0.17241379310344829"/>
  </r>
  <r>
    <x v="1"/>
    <x v="14"/>
    <x v="21"/>
    <n v="29"/>
    <n v="26"/>
    <n v="3607.83"/>
    <n v="0.18796955350187858"/>
    <n v="3.75"/>
    <n v="0.19230769230769232"/>
  </r>
  <r>
    <x v="1"/>
    <x v="15"/>
    <x v="21"/>
    <n v="53"/>
    <n v="48"/>
    <n v="6882.22"/>
    <n v="0.17905012950805968"/>
    <n v="4.283018867924528"/>
    <n v="6.25E-2"/>
  </r>
  <r>
    <x v="1"/>
    <x v="16"/>
    <x v="21"/>
    <n v="41"/>
    <n v="35"/>
    <n v="4981.97"/>
    <n v="0.22096903751807237"/>
    <n v="4.024390243902439"/>
    <n v="5.7142857142857141E-2"/>
  </r>
  <r>
    <x v="1"/>
    <x v="17"/>
    <x v="21"/>
    <n v="26"/>
    <n v="21"/>
    <n v="3533.92"/>
    <n v="0.28570653555707337"/>
    <n v="4.3461538461538458"/>
    <n v="0"/>
  </r>
  <r>
    <x v="1"/>
    <x v="18"/>
    <x v="21"/>
    <n v="14"/>
    <n v="13"/>
    <n v="5593.9"/>
    <n v="0.2931871076362309"/>
    <n v="4"/>
    <n v="0"/>
  </r>
  <r>
    <x v="1"/>
    <x v="19"/>
    <x v="21"/>
    <n v="10"/>
    <n v="9"/>
    <n v="2744.05"/>
    <n v="0.23775279897014401"/>
    <n v="3.9"/>
    <n v="0.1111111111111111"/>
  </r>
  <r>
    <x v="0"/>
    <x v="0"/>
    <x v="22"/>
    <n v="28"/>
    <n v="21"/>
    <n v="3269.76"/>
    <n v="0.19463833805136993"/>
    <n v="4.0714285714285712"/>
    <n v="4.7619047619047616E-2"/>
  </r>
  <r>
    <x v="0"/>
    <x v="1"/>
    <x v="22"/>
    <n v="81"/>
    <n v="68"/>
    <n v="14207.49"/>
    <n v="0.27428551119509553"/>
    <n v="3.759493670886076"/>
    <n v="2.9411764705882353E-2"/>
  </r>
  <r>
    <x v="0"/>
    <x v="2"/>
    <x v="22"/>
    <n v="209"/>
    <n v="178"/>
    <n v="17391.52"/>
    <n v="0.29289528630294376"/>
    <n v="4.0970873786407767"/>
    <n v="6.1797752808988762E-2"/>
  </r>
  <r>
    <x v="0"/>
    <x v="3"/>
    <x v="22"/>
    <n v="183"/>
    <n v="144"/>
    <n v="18356.259999999998"/>
    <n v="0.2680039459538659"/>
    <n v="3.9065934065934065"/>
    <n v="6.25E-2"/>
  </r>
  <r>
    <x v="0"/>
    <x v="4"/>
    <x v="22"/>
    <n v="307"/>
    <n v="264"/>
    <n v="27045.599999999999"/>
    <n v="0.2517036854218217"/>
    <n v="4.1980198019801982"/>
    <n v="7.575757575757576E-3"/>
  </r>
  <r>
    <x v="0"/>
    <x v="5"/>
    <x v="22"/>
    <n v="331"/>
    <n v="289"/>
    <n v="29857.93"/>
    <n v="0.24134916829646205"/>
    <n v="4.1428571428571432"/>
    <n v="2.768166089965398E-2"/>
  </r>
  <r>
    <x v="0"/>
    <x v="6"/>
    <x v="22"/>
    <n v="277"/>
    <n v="225"/>
    <n v="25664.18"/>
    <n v="0.25162737616362374"/>
    <n v="4.3054545454545456"/>
    <n v="2.2222222222222223E-2"/>
  </r>
  <r>
    <x v="0"/>
    <x v="7"/>
    <x v="22"/>
    <n v="288"/>
    <n v="249"/>
    <n v="29046.78"/>
    <n v="0.24907828938713547"/>
    <n v="4.1087719298245613"/>
    <n v="2.0080321285140562E-2"/>
  </r>
  <r>
    <x v="0"/>
    <x v="8"/>
    <x v="22"/>
    <n v="255"/>
    <n v="223"/>
    <n v="25121.49"/>
    <n v="0.26984316026793165"/>
    <n v="4.1739130434782608"/>
    <n v="2.2421524663677129E-2"/>
  </r>
  <r>
    <x v="0"/>
    <x v="9"/>
    <x v="22"/>
    <n v="235"/>
    <n v="191"/>
    <n v="20263.23"/>
    <n v="0.281295247292071"/>
    <n v="4.1508620689655169"/>
    <n v="3.6649214659685861E-2"/>
  </r>
  <r>
    <x v="0"/>
    <x v="10"/>
    <x v="22"/>
    <n v="426"/>
    <n v="353"/>
    <n v="44718.79"/>
    <n v="0.25812915963827032"/>
    <n v="3.9164677804295942"/>
    <n v="0.10198300283286119"/>
  </r>
  <r>
    <x v="0"/>
    <x v="11"/>
    <x v="22"/>
    <n v="295"/>
    <n v="249"/>
    <n v="31932.31"/>
    <n v="0.23501575589119347"/>
    <n v="3.8634812286689422"/>
    <n v="6.0240963855421686E-2"/>
  </r>
  <r>
    <x v="1"/>
    <x v="12"/>
    <x v="22"/>
    <n v="359"/>
    <n v="322"/>
    <n v="45966.73"/>
    <n v="0.22898901933733637"/>
    <n v="4"/>
    <n v="6.8322981366459631E-2"/>
  </r>
  <r>
    <x v="1"/>
    <x v="13"/>
    <x v="22"/>
    <n v="404"/>
    <n v="342"/>
    <n v="44422.58"/>
    <n v="0.2541312582432706"/>
    <n v="3.8718592964824121"/>
    <n v="0.12865497076023391"/>
  </r>
  <r>
    <x v="1"/>
    <x v="14"/>
    <x v="22"/>
    <n v="408"/>
    <n v="338"/>
    <n v="46755.96"/>
    <n v="0.25991927802132853"/>
    <n v="3.7093596059113301"/>
    <n v="0.16272189349112426"/>
  </r>
  <r>
    <x v="1"/>
    <x v="15"/>
    <x v="22"/>
    <n v="471"/>
    <n v="420"/>
    <n v="55763.94"/>
    <n v="0.23348383949968948"/>
    <n v="4.0767590618336884"/>
    <n v="5.7142857142857141E-2"/>
  </r>
  <r>
    <x v="1"/>
    <x v="16"/>
    <x v="22"/>
    <n v="619"/>
    <n v="493"/>
    <n v="76453.58"/>
    <n v="0.23214715522680499"/>
    <n v="4.153344208809135"/>
    <n v="6.6937119675456389E-2"/>
  </r>
  <r>
    <x v="1"/>
    <x v="17"/>
    <x v="22"/>
    <n v="586"/>
    <n v="470"/>
    <n v="70494.89"/>
    <n v="0.26511357040902223"/>
    <n v="3.9398625429553267"/>
    <n v="2.3404255319148935E-2"/>
  </r>
  <r>
    <x v="1"/>
    <x v="18"/>
    <x v="22"/>
    <n v="578"/>
    <n v="474"/>
    <n v="78113.850000000006"/>
    <n v="0.2493279150604443"/>
    <n v="4.1433566433566433"/>
    <n v="2.1097046413502109E-2"/>
  </r>
  <r>
    <x v="1"/>
    <x v="19"/>
    <x v="22"/>
    <n v="629"/>
    <n v="562"/>
    <n v="74238.89"/>
    <n v="0.25469433546591497"/>
    <n v="4.2841091492776888"/>
    <n v="6.2277580071174378E-2"/>
  </r>
  <r>
    <x v="0"/>
    <x v="1"/>
    <x v="23"/>
    <n v="4"/>
    <n v="3"/>
    <n v="764.57"/>
    <n v="9.1289879667712792E-2"/>
    <n v="5"/>
    <n v="0"/>
  </r>
  <r>
    <x v="0"/>
    <x v="2"/>
    <x v="23"/>
    <n v="10"/>
    <n v="5"/>
    <n v="718.69"/>
    <n v="0.29490797238741701"/>
    <n v="4.333333333333333"/>
    <n v="0"/>
  </r>
  <r>
    <x v="0"/>
    <x v="3"/>
    <x v="23"/>
    <n v="5"/>
    <n v="5"/>
    <n v="1696.94"/>
    <n v="8.609434614733584E-2"/>
    <n v="4.2"/>
    <n v="0"/>
  </r>
  <r>
    <x v="0"/>
    <x v="4"/>
    <x v="23"/>
    <n v="7"/>
    <n v="5"/>
    <n v="1731.6"/>
    <n v="0.1519924326189851"/>
    <n v="2.5714285714285716"/>
    <n v="0"/>
  </r>
  <r>
    <x v="0"/>
    <x v="5"/>
    <x v="23"/>
    <n v="8"/>
    <n v="4"/>
    <n v="2141.1799999999998"/>
    <n v="8.9216527811527238E-2"/>
    <n v="4"/>
    <n v="0"/>
  </r>
  <r>
    <x v="0"/>
    <x v="6"/>
    <x v="23"/>
    <n v="2"/>
    <n v="1"/>
    <n v="123.8"/>
    <n v="0.24394184168012925"/>
    <n v="5"/>
    <n v="0"/>
  </r>
  <r>
    <x v="0"/>
    <x v="7"/>
    <x v="23"/>
    <n v="1"/>
    <n v="1"/>
    <n v="141.43"/>
    <n v="0.11758467086191049"/>
    <n v="5"/>
    <n v="0"/>
  </r>
  <r>
    <x v="0"/>
    <x v="8"/>
    <x v="23"/>
    <n v="11"/>
    <n v="9"/>
    <n v="1759.36"/>
    <n v="0.21713149369621385"/>
    <n v="3.5454545454545454"/>
    <n v="0"/>
  </r>
  <r>
    <x v="0"/>
    <x v="9"/>
    <x v="23"/>
    <n v="18"/>
    <n v="15"/>
    <n v="4752.21"/>
    <n v="0.17580560015235625"/>
    <n v="4"/>
    <n v="6.6666666666666666E-2"/>
  </r>
  <r>
    <x v="0"/>
    <x v="10"/>
    <x v="23"/>
    <n v="38"/>
    <n v="33"/>
    <n v="5726.54"/>
    <n v="0.1710530538898187"/>
    <n v="3.7714285714285714"/>
    <n v="6.0606060606060608E-2"/>
  </r>
  <r>
    <x v="0"/>
    <x v="11"/>
    <x v="23"/>
    <n v="39"/>
    <n v="30"/>
    <n v="8006.27"/>
    <n v="0.19154207319357264"/>
    <n v="3.8947368421052633"/>
    <n v="6.6666666666666666E-2"/>
  </r>
  <r>
    <x v="1"/>
    <x v="12"/>
    <x v="23"/>
    <n v="42"/>
    <n v="28"/>
    <n v="6758.04"/>
    <n v="0.20269526935652846"/>
    <n v="3.5714285714285716"/>
    <n v="0.25"/>
  </r>
  <r>
    <x v="1"/>
    <x v="13"/>
    <x v="23"/>
    <n v="39"/>
    <n v="32"/>
    <n v="6056.18"/>
    <n v="0.18888436162831987"/>
    <n v="3.8684210526315788"/>
    <n v="0.125"/>
  </r>
  <r>
    <x v="1"/>
    <x v="14"/>
    <x v="23"/>
    <n v="44"/>
    <n v="34"/>
    <n v="6766.89"/>
    <n v="0.23423735912233884"/>
    <n v="3.6590909090909092"/>
    <n v="0.23529411764705882"/>
  </r>
  <r>
    <x v="1"/>
    <x v="15"/>
    <x v="23"/>
    <n v="76"/>
    <n v="59"/>
    <n v="10772.74"/>
    <n v="0.20247618986035437"/>
    <n v="3.8157894736842106"/>
    <n v="6.7796610169491525E-2"/>
  </r>
  <r>
    <x v="1"/>
    <x v="16"/>
    <x v="23"/>
    <n v="79"/>
    <n v="63"/>
    <n v="11456.03"/>
    <n v="0.16887454295760504"/>
    <n v="3.8717948717948718"/>
    <n v="4.7619047619047616E-2"/>
  </r>
  <r>
    <x v="1"/>
    <x v="17"/>
    <x v="23"/>
    <n v="71"/>
    <n v="60"/>
    <n v="10936.73"/>
    <n v="0.17865840188170864"/>
    <n v="4.380281690140845"/>
    <n v="0"/>
  </r>
  <r>
    <x v="1"/>
    <x v="18"/>
    <x v="23"/>
    <n v="62"/>
    <n v="58"/>
    <n v="8429.8799999999992"/>
    <n v="0.18683313917953637"/>
    <n v="4.306451612903226"/>
    <n v="3.4482758620689655E-2"/>
  </r>
  <r>
    <x v="1"/>
    <x v="19"/>
    <x v="23"/>
    <n v="49"/>
    <n v="45"/>
    <n v="8312.99"/>
    <n v="0.1979529655139978"/>
    <n v="3.9387755102040818"/>
    <n v="4.4444444444444446E-2"/>
  </r>
  <r>
    <x v="0"/>
    <x v="1"/>
    <x v="24"/>
    <n v="3"/>
    <n v="3"/>
    <n v="471.27"/>
    <n v="0.13776474022754612"/>
    <n v="3"/>
    <n v="0"/>
  </r>
  <r>
    <x v="0"/>
    <x v="2"/>
    <x v="24"/>
    <n v="13"/>
    <n v="12"/>
    <n v="2380.79"/>
    <n v="0.1723338941296404"/>
    <n v="3.7692307692307692"/>
    <n v="0.25"/>
  </r>
  <r>
    <x v="0"/>
    <x v="3"/>
    <x v="24"/>
    <n v="17"/>
    <n v="16"/>
    <n v="2712.95"/>
    <n v="0.16389052103787877"/>
    <n v="4.2941176470588234"/>
    <n v="0"/>
  </r>
  <r>
    <x v="0"/>
    <x v="4"/>
    <x v="24"/>
    <n v="37"/>
    <n v="34"/>
    <n v="5895.17"/>
    <n v="0.15139524435452942"/>
    <n v="3.4594594594594597"/>
    <n v="8.8235294117647065E-2"/>
  </r>
  <r>
    <x v="0"/>
    <x v="5"/>
    <x v="24"/>
    <n v="18"/>
    <n v="18"/>
    <n v="3352.7"/>
    <n v="0.12553172348682251"/>
    <n v="3.7647058823529411"/>
    <n v="0"/>
  </r>
  <r>
    <x v="0"/>
    <x v="6"/>
    <x v="24"/>
    <n v="44"/>
    <n v="36"/>
    <n v="5508.4"/>
    <n v="0.19437457590610746"/>
    <n v="3.8181818181818183"/>
    <n v="0"/>
  </r>
  <r>
    <x v="0"/>
    <x v="7"/>
    <x v="24"/>
    <n v="28"/>
    <n v="24"/>
    <n v="4536.12"/>
    <n v="0.18258149850125729"/>
    <n v="4.3703703703703702"/>
    <n v="0"/>
  </r>
  <r>
    <x v="0"/>
    <x v="8"/>
    <x v="24"/>
    <n v="33"/>
    <n v="26"/>
    <n v="5273.36"/>
    <n v="0.14488009121879308"/>
    <n v="4.3939393939393936"/>
    <n v="0.11538461538461539"/>
  </r>
  <r>
    <x v="0"/>
    <x v="9"/>
    <x v="24"/>
    <n v="27"/>
    <n v="26"/>
    <n v="4072.65"/>
    <n v="0.16639406260967685"/>
    <n v="3.925925925925926"/>
    <n v="3.8461538461538464E-2"/>
  </r>
  <r>
    <x v="0"/>
    <x v="10"/>
    <x v="24"/>
    <n v="45"/>
    <n v="40"/>
    <n v="6245.13"/>
    <n v="0.16529189794104443"/>
    <n v="3.2"/>
    <n v="0.32500000000000001"/>
  </r>
  <r>
    <x v="0"/>
    <x v="11"/>
    <x v="24"/>
    <n v="14"/>
    <n v="14"/>
    <n v="2544.89"/>
    <n v="0.13974140366597357"/>
    <n v="3.7857142857142856"/>
    <n v="7.1428571428571425E-2"/>
  </r>
  <r>
    <x v="1"/>
    <x v="12"/>
    <x v="24"/>
    <n v="18"/>
    <n v="18"/>
    <n v="3435.61"/>
    <n v="0.14178639301411655"/>
    <n v="4.1111111111111107"/>
    <n v="0"/>
  </r>
  <r>
    <x v="1"/>
    <x v="13"/>
    <x v="24"/>
    <n v="21"/>
    <n v="20"/>
    <n v="3397.87"/>
    <n v="0.1244015159403408"/>
    <n v="3.8571428571428572"/>
    <n v="0.1"/>
  </r>
  <r>
    <x v="1"/>
    <x v="14"/>
    <x v="24"/>
    <n v="21"/>
    <n v="21"/>
    <n v="3060.62"/>
    <n v="0.18544629113052508"/>
    <n v="3.3333333333333335"/>
    <n v="0.47619047619047616"/>
  </r>
  <r>
    <x v="1"/>
    <x v="15"/>
    <x v="24"/>
    <n v="18"/>
    <n v="15"/>
    <n v="2274.2600000000002"/>
    <n v="0.17595140504839918"/>
    <n v="3.6111111111111112"/>
    <n v="6.6666666666666666E-2"/>
  </r>
  <r>
    <x v="1"/>
    <x v="16"/>
    <x v="24"/>
    <n v="22"/>
    <n v="19"/>
    <n v="3184.37"/>
    <n v="0.12279387860241321"/>
    <n v="3.3181818181818183"/>
    <n v="5.2631578947368418E-2"/>
  </r>
  <r>
    <x v="1"/>
    <x v="17"/>
    <x v="24"/>
    <n v="16"/>
    <n v="16"/>
    <n v="2701.94"/>
    <n v="0.12450270711330517"/>
    <n v="4.3125"/>
    <n v="0"/>
  </r>
  <r>
    <x v="1"/>
    <x v="18"/>
    <x v="24"/>
    <n v="24"/>
    <n v="24"/>
    <n v="3560.26"/>
    <n v="0.18799735066039208"/>
    <n v="4.2608695652173916"/>
    <n v="4.1666666666666664E-2"/>
  </r>
  <r>
    <x v="1"/>
    <x v="19"/>
    <x v="24"/>
    <n v="16"/>
    <n v="15"/>
    <n v="2571.88"/>
    <n v="0.15092350622083153"/>
    <n v="4.375"/>
    <n v="6.6666666666666666E-2"/>
  </r>
  <r>
    <x v="0"/>
    <x v="0"/>
    <x v="25"/>
    <n v="2"/>
    <n v="2"/>
    <n v="95.57"/>
    <n v="0.31201865154226127"/>
    <n v="4.5"/>
    <n v="0"/>
  </r>
  <r>
    <x v="0"/>
    <x v="2"/>
    <x v="25"/>
    <n v="3"/>
    <n v="3"/>
    <n v="390.89"/>
    <n v="0.22781514075529427"/>
    <n v="4.666666666666667"/>
    <n v="0"/>
  </r>
  <r>
    <x v="0"/>
    <x v="3"/>
    <x v="25"/>
    <n v="1"/>
    <n v="1"/>
    <n v="23.86"/>
    <n v="0.45934618608549876"/>
    <n v="5"/>
    <n v="0"/>
  </r>
  <r>
    <x v="0"/>
    <x v="5"/>
    <x v="25"/>
    <n v="1"/>
    <n v="1"/>
    <n v="28"/>
    <n v="0.53928571428571426"/>
    <n v="5"/>
    <n v="0"/>
  </r>
  <r>
    <x v="0"/>
    <x v="6"/>
    <x v="25"/>
    <n v="1"/>
    <n v="1"/>
    <n v="28"/>
    <n v="0.53928571428571426"/>
    <n v="4"/>
    <n v="0"/>
  </r>
  <r>
    <x v="0"/>
    <x v="7"/>
    <x v="25"/>
    <n v="3"/>
    <n v="2"/>
    <n v="69.91"/>
    <n v="0.44184421381873612"/>
    <n v="5"/>
    <n v="0"/>
  </r>
  <r>
    <x v="0"/>
    <x v="8"/>
    <x v="25"/>
    <n v="1"/>
    <n v="1"/>
    <n v="29.69"/>
    <n v="0.56551027281913102"/>
    <n v="3"/>
    <n v="1"/>
  </r>
  <r>
    <x v="0"/>
    <x v="9"/>
    <x v="25"/>
    <n v="5"/>
    <n v="3"/>
    <n v="140"/>
    <n v="0.53928571428571426"/>
    <n v="5"/>
    <n v="0"/>
  </r>
  <r>
    <x v="0"/>
    <x v="10"/>
    <x v="25"/>
    <n v="3"/>
    <n v="3"/>
    <n v="80.75"/>
    <n v="0.51911976911976909"/>
    <n v="3.6666666666666665"/>
    <n v="0"/>
  </r>
  <r>
    <x v="1"/>
    <x v="13"/>
    <x v="25"/>
    <n v="3"/>
    <n v="2"/>
    <n v="84"/>
    <n v="0.53928571428571426"/>
    <n v="1.3333333333333333"/>
    <n v="1.5"/>
  </r>
  <r>
    <x v="1"/>
    <x v="14"/>
    <x v="25"/>
    <n v="1"/>
    <n v="1"/>
    <n v="44.33"/>
    <n v="0.21069253327317844"/>
    <n v="5"/>
    <n v="0"/>
  </r>
  <r>
    <x v="1"/>
    <x v="15"/>
    <x v="25"/>
    <n v="1"/>
    <n v="1"/>
    <n v="18.760000000000002"/>
    <n v="0.31236673773987206"/>
    <n v="1"/>
    <n v="0"/>
  </r>
  <r>
    <x v="1"/>
    <x v="17"/>
    <x v="25"/>
    <n v="2"/>
    <n v="1"/>
    <n v="51.38"/>
    <n v="0.49785908913974308"/>
    <n v="1"/>
    <n v="0"/>
  </r>
  <r>
    <x v="1"/>
    <x v="18"/>
    <x v="25"/>
    <n v="3"/>
    <n v="2"/>
    <n v="85.44"/>
    <n v="0.54335574828353828"/>
    <n v="3.3333333333333335"/>
    <n v="0"/>
  </r>
  <r>
    <x v="0"/>
    <x v="0"/>
    <x v="26"/>
    <n v="8"/>
    <n v="7"/>
    <n v="2268.6"/>
    <n v="0.13927847104473554"/>
    <n v="4.7142857142857144"/>
    <n v="0"/>
  </r>
  <r>
    <x v="0"/>
    <x v="1"/>
    <x v="26"/>
    <n v="1"/>
    <n v="1"/>
    <n v="30.11"/>
    <n v="0.46894719362338094"/>
    <n v="5"/>
    <n v="0"/>
  </r>
  <r>
    <x v="0"/>
    <x v="2"/>
    <x v="26"/>
    <n v="2"/>
    <n v="2"/>
    <n v="568.42999999999995"/>
    <n v="0.33197524417582991"/>
    <n v="4"/>
    <n v="0.5"/>
  </r>
  <r>
    <x v="0"/>
    <x v="3"/>
    <x v="26"/>
    <n v="2"/>
    <n v="2"/>
    <n v="946.97"/>
    <n v="0.15536141456910282"/>
    <n v="2.5"/>
    <n v="0.5"/>
  </r>
  <r>
    <x v="0"/>
    <x v="4"/>
    <x v="26"/>
    <n v="9"/>
    <n v="9"/>
    <n v="3453.39"/>
    <n v="0.16886532671204577"/>
    <n v="4.4444444444444446"/>
    <n v="0"/>
  </r>
  <r>
    <x v="0"/>
    <x v="5"/>
    <x v="26"/>
    <n v="6"/>
    <n v="6"/>
    <n v="1435.07"/>
    <n v="0.15855028233346247"/>
    <n v="3.5"/>
    <n v="0"/>
  </r>
  <r>
    <x v="0"/>
    <x v="6"/>
    <x v="26"/>
    <n v="7"/>
    <n v="7"/>
    <n v="1306.8800000000001"/>
    <n v="0.20160965391416807"/>
    <n v="3.4285714285714284"/>
    <n v="0"/>
  </r>
  <r>
    <x v="0"/>
    <x v="7"/>
    <x v="26"/>
    <n v="17"/>
    <n v="17"/>
    <n v="4798.4799999999996"/>
    <n v="0.17102390402749296"/>
    <n v="4.5714285714285712"/>
    <n v="0"/>
  </r>
  <r>
    <x v="0"/>
    <x v="8"/>
    <x v="26"/>
    <n v="6"/>
    <n v="6"/>
    <n v="1928.62"/>
    <n v="0.17248217346789535"/>
    <n v="4.666666666666667"/>
    <n v="0"/>
  </r>
  <r>
    <x v="0"/>
    <x v="9"/>
    <x v="26"/>
    <n v="10"/>
    <n v="10"/>
    <n v="3188.82"/>
    <n v="0.15457984291944213"/>
    <n v="3.1"/>
    <n v="0.2"/>
  </r>
  <r>
    <x v="0"/>
    <x v="10"/>
    <x v="26"/>
    <n v="14"/>
    <n v="13"/>
    <n v="5571.8"/>
    <n v="0.1165752783074368"/>
    <n v="3.5714285714285716"/>
    <n v="0.23076923076923078"/>
  </r>
  <r>
    <x v="0"/>
    <x v="11"/>
    <x v="26"/>
    <n v="8"/>
    <n v="8"/>
    <n v="2272.4499999999998"/>
    <n v="0.13627245595516166"/>
    <n v="4.125"/>
    <n v="0.125"/>
  </r>
  <r>
    <x v="1"/>
    <x v="12"/>
    <x v="26"/>
    <n v="13"/>
    <n v="12"/>
    <n v="9109.57"/>
    <n v="0.12847559543696471"/>
    <n v="4.384615384615385"/>
    <n v="0"/>
  </r>
  <r>
    <x v="1"/>
    <x v="13"/>
    <x v="26"/>
    <n v="21"/>
    <n v="21"/>
    <n v="9986.74"/>
    <n v="0.16646617724424609"/>
    <n v="3.9"/>
    <n v="9.5238095238095233E-2"/>
  </r>
  <r>
    <x v="1"/>
    <x v="14"/>
    <x v="26"/>
    <n v="12"/>
    <n v="12"/>
    <n v="6085.99"/>
    <n v="0.11692101500470642"/>
    <n v="4.083333333333333"/>
    <n v="8.3333333333333329E-2"/>
  </r>
  <r>
    <x v="1"/>
    <x v="15"/>
    <x v="26"/>
    <n v="23"/>
    <n v="23"/>
    <n v="21959.040000000001"/>
    <n v="8.4288003260816341E-2"/>
    <n v="4.4782608695652177"/>
    <n v="0"/>
  </r>
  <r>
    <x v="1"/>
    <x v="16"/>
    <x v="26"/>
    <n v="23"/>
    <n v="23"/>
    <n v="15597.83"/>
    <n v="0.12422227387443734"/>
    <n v="4.2608695652173916"/>
    <n v="4.3478260869565216E-2"/>
  </r>
  <r>
    <x v="1"/>
    <x v="17"/>
    <x v="26"/>
    <n v="19"/>
    <n v="18"/>
    <n v="9112.5400000000009"/>
    <n v="0.21799813727565115"/>
    <n v="4.7222222222222223"/>
    <n v="0"/>
  </r>
  <r>
    <x v="1"/>
    <x v="18"/>
    <x v="26"/>
    <n v="23"/>
    <n v="22"/>
    <n v="13772.17"/>
    <n v="0.16851116914585992"/>
    <n v="4.1304347826086953"/>
    <n v="4.5454545454545456E-2"/>
  </r>
  <r>
    <x v="1"/>
    <x v="19"/>
    <x v="26"/>
    <n v="15"/>
    <n v="15"/>
    <n v="10667.72"/>
    <n v="9.7104496294266332E-2"/>
    <n v="3.7333333333333334"/>
    <n v="6.6666666666666666E-2"/>
  </r>
  <r>
    <x v="0"/>
    <x v="1"/>
    <x v="27"/>
    <n v="7"/>
    <n v="7"/>
    <n v="855.4"/>
    <n v="0.16689916428498464"/>
    <n v="4.1428571428571432"/>
    <n v="0"/>
  </r>
  <r>
    <x v="0"/>
    <x v="2"/>
    <x v="27"/>
    <n v="10"/>
    <n v="9"/>
    <n v="466.25"/>
    <n v="0.32981319514921942"/>
    <n v="4.333333333333333"/>
    <n v="0"/>
  </r>
  <r>
    <x v="0"/>
    <x v="3"/>
    <x v="27"/>
    <n v="10"/>
    <n v="9"/>
    <n v="635.57000000000005"/>
    <n v="0.2591433992459069"/>
    <n v="4.4000000000000004"/>
    <n v="0.1111111111111111"/>
  </r>
  <r>
    <x v="0"/>
    <x v="4"/>
    <x v="27"/>
    <n v="29"/>
    <n v="28"/>
    <n v="2413.14"/>
    <n v="0.24676476670945341"/>
    <n v="4.6923076923076925"/>
    <n v="3.5714285714285712E-2"/>
  </r>
  <r>
    <x v="0"/>
    <x v="5"/>
    <x v="27"/>
    <n v="45"/>
    <n v="42"/>
    <n v="3215.98"/>
    <n v="0.27425764769246264"/>
    <n v="3.9761904761904763"/>
    <n v="2.3809523809523808E-2"/>
  </r>
  <r>
    <x v="0"/>
    <x v="6"/>
    <x v="27"/>
    <n v="37"/>
    <n v="37"/>
    <n v="4336.18"/>
    <n v="0.26077660157557275"/>
    <n v="4.1621621621621623"/>
    <n v="2.7027027027027029E-2"/>
  </r>
  <r>
    <x v="0"/>
    <x v="7"/>
    <x v="27"/>
    <n v="49"/>
    <n v="49"/>
    <n v="5548.78"/>
    <n v="0.25446298214785201"/>
    <n v="3.8723404255319149"/>
    <n v="2.0408163265306121E-2"/>
  </r>
  <r>
    <x v="0"/>
    <x v="8"/>
    <x v="27"/>
    <n v="10"/>
    <n v="10"/>
    <n v="2197.2800000000002"/>
    <n v="0.21612000505521836"/>
    <n v="4.333333333333333"/>
    <n v="0"/>
  </r>
  <r>
    <x v="0"/>
    <x v="9"/>
    <x v="27"/>
    <n v="8"/>
    <n v="8"/>
    <n v="2233.2800000000002"/>
    <n v="0.20008900497769055"/>
    <n v="4.375"/>
    <n v="0"/>
  </r>
  <r>
    <x v="0"/>
    <x v="10"/>
    <x v="27"/>
    <n v="25"/>
    <n v="25"/>
    <n v="5069.9799999999996"/>
    <n v="0.20994358041321023"/>
    <n v="3.8"/>
    <n v="0.12"/>
  </r>
  <r>
    <x v="0"/>
    <x v="11"/>
    <x v="27"/>
    <n v="16"/>
    <n v="16"/>
    <n v="1672.84"/>
    <n v="0.25135128095052556"/>
    <n v="4.1875"/>
    <n v="6.25E-2"/>
  </r>
  <r>
    <x v="1"/>
    <x v="12"/>
    <x v="27"/>
    <n v="29"/>
    <n v="27"/>
    <n v="2282.5700000000002"/>
    <n v="0.25371614349629945"/>
    <n v="4.1785714285714288"/>
    <n v="0"/>
  </r>
  <r>
    <x v="1"/>
    <x v="13"/>
    <x v="27"/>
    <n v="51"/>
    <n v="48"/>
    <n v="6497.43"/>
    <n v="0.23651939548290934"/>
    <n v="4.2553191489361701"/>
    <n v="4.1666666666666664E-2"/>
  </r>
  <r>
    <x v="1"/>
    <x v="14"/>
    <x v="27"/>
    <n v="74"/>
    <n v="70"/>
    <n v="11611.43"/>
    <n v="0.23792127756366097"/>
    <n v="3.9714285714285715"/>
    <n v="4.2857142857142858E-2"/>
  </r>
  <r>
    <x v="1"/>
    <x v="15"/>
    <x v="27"/>
    <n v="108"/>
    <n v="106"/>
    <n v="17464.59"/>
    <n v="0.24502591108347455"/>
    <n v="4.134615384615385"/>
    <n v="5.6603773584905662E-2"/>
  </r>
  <r>
    <x v="1"/>
    <x v="16"/>
    <x v="27"/>
    <n v="66"/>
    <n v="63"/>
    <n v="7448.73"/>
    <n v="0.27031884539909906"/>
    <n v="4.09375"/>
    <n v="9.5238095238095233E-2"/>
  </r>
  <r>
    <x v="1"/>
    <x v="17"/>
    <x v="27"/>
    <n v="68"/>
    <n v="67"/>
    <n v="8004.38"/>
    <n v="0.27288372825064083"/>
    <n v="4.370967741935484"/>
    <n v="1.4925373134328358E-2"/>
  </r>
  <r>
    <x v="1"/>
    <x v="18"/>
    <x v="27"/>
    <n v="83"/>
    <n v="79"/>
    <n v="6796.18"/>
    <n v="0.26423052192794305"/>
    <n v="4.3698630136986303"/>
    <n v="1.2658227848101266E-2"/>
  </r>
  <r>
    <x v="1"/>
    <x v="19"/>
    <x v="27"/>
    <n v="65"/>
    <n v="64"/>
    <n v="7933.85"/>
    <n v="0.2671326406692634"/>
    <n v="4.241935483870968"/>
    <n v="9.375E-2"/>
  </r>
  <r>
    <x v="0"/>
    <x v="0"/>
    <x v="28"/>
    <n v="85"/>
    <n v="82"/>
    <n v="14039.74"/>
    <n v="0.19382705775404424"/>
    <n v="4.0481927710843371"/>
    <n v="1.2195121951219513E-2"/>
  </r>
  <r>
    <x v="0"/>
    <x v="1"/>
    <x v="28"/>
    <n v="166"/>
    <n v="155"/>
    <n v="26130.080000000002"/>
    <n v="0.22368874133193195"/>
    <n v="4.0802469135802468"/>
    <n v="1.935483870967742E-2"/>
  </r>
  <r>
    <x v="0"/>
    <x v="2"/>
    <x v="28"/>
    <n v="211"/>
    <n v="193"/>
    <n v="29852.87"/>
    <n v="0.21290112574027237"/>
    <n v="4.2761904761904761"/>
    <n v="4.6632124352331605E-2"/>
  </r>
  <r>
    <x v="0"/>
    <x v="3"/>
    <x v="28"/>
    <n v="190"/>
    <n v="176"/>
    <n v="26438.78"/>
    <n v="0.22461013351835887"/>
    <n v="4.0106951871657754"/>
    <n v="5.113636363636364E-2"/>
  </r>
  <r>
    <x v="0"/>
    <x v="4"/>
    <x v="28"/>
    <n v="291"/>
    <n v="267"/>
    <n v="52880.5"/>
    <n v="0.21012440160084042"/>
    <n v="4.1637630662020904"/>
    <n v="3.3707865168539325E-2"/>
  </r>
  <r>
    <x v="0"/>
    <x v="5"/>
    <x v="28"/>
    <n v="261"/>
    <n v="239"/>
    <n v="37311.57"/>
    <n v="0.2171230489615317"/>
    <n v="4.2412451361867705"/>
    <n v="4.6025104602510462E-2"/>
  </r>
  <r>
    <x v="0"/>
    <x v="6"/>
    <x v="28"/>
    <n v="318"/>
    <n v="278"/>
    <n v="40591.760000000002"/>
    <n v="0.25648820365899416"/>
    <n v="3.9070512820512819"/>
    <n v="0.10431654676258993"/>
  </r>
  <r>
    <x v="0"/>
    <x v="7"/>
    <x v="28"/>
    <n v="363"/>
    <n v="345"/>
    <n v="56826.91"/>
    <n v="0.19003791220506913"/>
    <n v="4.267605633802817"/>
    <n v="4.3478260869565216E-2"/>
  </r>
  <r>
    <x v="0"/>
    <x v="8"/>
    <x v="28"/>
    <n v="385"/>
    <n v="360"/>
    <n v="59450.43"/>
    <n v="0.19176765095023152"/>
    <n v="4.2213333333333329"/>
    <n v="7.4999999999999997E-2"/>
  </r>
  <r>
    <x v="0"/>
    <x v="9"/>
    <x v="28"/>
    <n v="365"/>
    <n v="332"/>
    <n v="49302.22"/>
    <n v="0.21138717434961132"/>
    <n v="4.197183098591549"/>
    <n v="3.614457831325301E-2"/>
  </r>
  <r>
    <x v="0"/>
    <x v="10"/>
    <x v="28"/>
    <n v="585"/>
    <n v="530"/>
    <n v="89709.74"/>
    <n v="0.19011076982997574"/>
    <n v="4.0692041522491351"/>
    <n v="0.10943396226415095"/>
  </r>
  <r>
    <x v="0"/>
    <x v="11"/>
    <x v="28"/>
    <n v="468"/>
    <n v="432"/>
    <n v="69786.81"/>
    <n v="0.19320865604021806"/>
    <n v="4.1101511879049673"/>
    <n v="5.5555555555555552E-2"/>
  </r>
  <r>
    <x v="1"/>
    <x v="12"/>
    <x v="28"/>
    <n v="633"/>
    <n v="572"/>
    <n v="83581.070000000007"/>
    <n v="0.19782885228978225"/>
    <n v="4.0753205128205128"/>
    <n v="7.5174825174825169E-2"/>
  </r>
  <r>
    <x v="1"/>
    <x v="13"/>
    <x v="28"/>
    <n v="673"/>
    <n v="607"/>
    <n v="98825.04"/>
    <n v="0.1825642082918674"/>
    <n v="3.9893778452200301"/>
    <n v="0.13344316309719934"/>
  </r>
  <r>
    <x v="1"/>
    <x v="14"/>
    <x v="28"/>
    <n v="674"/>
    <n v="621"/>
    <n v="103041.15"/>
    <n v="0.2000005559751615"/>
    <n v="3.6987951807228918"/>
    <n v="0.23993558776167473"/>
  </r>
  <r>
    <x v="1"/>
    <x v="15"/>
    <x v="28"/>
    <n v="694"/>
    <n v="626"/>
    <n v="105197.96"/>
    <n v="0.1948291019357227"/>
    <n v="4.1409883720930232"/>
    <n v="5.4313099041533544E-2"/>
  </r>
  <r>
    <x v="1"/>
    <x v="16"/>
    <x v="28"/>
    <n v="770"/>
    <n v="686"/>
    <n v="110477.15"/>
    <n v="0.18582668418186057"/>
    <n v="4.2379084967320262"/>
    <n v="0.10787172011661808"/>
  </r>
  <r>
    <x v="1"/>
    <x v="17"/>
    <x v="28"/>
    <n v="885"/>
    <n v="799"/>
    <n v="125197.75"/>
    <n v="0.20405573168294189"/>
    <n v="4.3678815489749434"/>
    <n v="1.2515644555694618E-2"/>
  </r>
  <r>
    <x v="1"/>
    <x v="18"/>
    <x v="28"/>
    <n v="784"/>
    <n v="713"/>
    <n v="122743.98"/>
    <n v="0.19867130148886317"/>
    <n v="4.2131782945736438"/>
    <n v="8.5553997194950909E-2"/>
  </r>
  <r>
    <x v="1"/>
    <x v="19"/>
    <x v="28"/>
    <n v="849"/>
    <n v="778"/>
    <n v="137206.07"/>
    <n v="0.19114819991019455"/>
    <n v="4.358244365361803"/>
    <n v="7.3264781491002573E-2"/>
  </r>
  <r>
    <x v="0"/>
    <x v="0"/>
    <x v="29"/>
    <n v="58"/>
    <n v="40"/>
    <n v="9225.17"/>
    <n v="0.13652742462245099"/>
    <n v="3.8448275862068968"/>
    <n v="0"/>
  </r>
  <r>
    <x v="0"/>
    <x v="1"/>
    <x v="29"/>
    <n v="72"/>
    <n v="63"/>
    <n v="14745.3"/>
    <n v="0.17471284109606858"/>
    <n v="3.971830985915493"/>
    <n v="1.5873015873015872E-2"/>
  </r>
  <r>
    <x v="0"/>
    <x v="2"/>
    <x v="29"/>
    <n v="150"/>
    <n v="121"/>
    <n v="27004.32"/>
    <n v="0.23433304431535767"/>
    <n v="3.9319727891156462"/>
    <n v="1.6528925619834711E-2"/>
  </r>
  <r>
    <x v="0"/>
    <x v="3"/>
    <x v="29"/>
    <n v="119"/>
    <n v="99"/>
    <n v="23468.07"/>
    <n v="0.19617284998278448"/>
    <n v="3.8907563025210083"/>
    <n v="5.0505050505050504E-2"/>
  </r>
  <r>
    <x v="0"/>
    <x v="4"/>
    <x v="29"/>
    <n v="141"/>
    <n v="124"/>
    <n v="24100"/>
    <n v="0.20454127529728061"/>
    <n v="4.2173913043478262"/>
    <n v="4.0322580645161289E-2"/>
  </r>
  <r>
    <x v="0"/>
    <x v="5"/>
    <x v="29"/>
    <n v="116"/>
    <n v="102"/>
    <n v="19220.009999999998"/>
    <n v="0.21342815146299943"/>
    <n v="4.2844827586206895"/>
    <n v="2.9411764705882353E-2"/>
  </r>
  <r>
    <x v="0"/>
    <x v="6"/>
    <x v="29"/>
    <n v="190"/>
    <n v="159"/>
    <n v="24251.57"/>
    <n v="0.22095052421643185"/>
    <n v="4.144385026737968"/>
    <n v="1.8867924528301886E-2"/>
  </r>
  <r>
    <x v="0"/>
    <x v="7"/>
    <x v="29"/>
    <n v="240"/>
    <n v="199"/>
    <n v="29219.95"/>
    <n v="0.23074221928625049"/>
    <n v="4.3138075313807533"/>
    <n v="1.507537688442211E-2"/>
  </r>
  <r>
    <x v="0"/>
    <x v="8"/>
    <x v="29"/>
    <n v="225"/>
    <n v="179"/>
    <n v="27359.83"/>
    <n v="0.22155384549708151"/>
    <n v="4.2612612612612617"/>
    <n v="3.3519553072625698E-2"/>
  </r>
  <r>
    <x v="0"/>
    <x v="9"/>
    <x v="29"/>
    <n v="281"/>
    <n v="214"/>
    <n v="32526.880000000001"/>
    <n v="0.23543785586636667"/>
    <n v="4.1857142857142859"/>
    <n v="6.0747663551401869E-2"/>
  </r>
  <r>
    <x v="0"/>
    <x v="10"/>
    <x v="29"/>
    <n v="550"/>
    <n v="433"/>
    <n v="58200.1"/>
    <n v="0.2464683302543221"/>
    <n v="3.8318098720292504"/>
    <n v="0.14549653579676675"/>
  </r>
  <r>
    <x v="0"/>
    <x v="11"/>
    <x v="29"/>
    <n v="325"/>
    <n v="245"/>
    <n v="35142.699999999997"/>
    <n v="0.2394422915009809"/>
    <n v="3.8714733542319748"/>
    <n v="0.11020408163265306"/>
  </r>
  <r>
    <x v="1"/>
    <x v="12"/>
    <x v="29"/>
    <n v="240"/>
    <n v="205"/>
    <n v="32819.83"/>
    <n v="0.2447194269338073"/>
    <n v="4.02510460251046"/>
    <n v="5.8536585365853662E-2"/>
  </r>
  <r>
    <x v="1"/>
    <x v="13"/>
    <x v="29"/>
    <n v="296"/>
    <n v="232"/>
    <n v="33698.730000000003"/>
    <n v="0.2416076217737233"/>
    <n v="3.6440677966101696"/>
    <n v="0.18534482758620691"/>
  </r>
  <r>
    <x v="1"/>
    <x v="14"/>
    <x v="29"/>
    <n v="263"/>
    <n v="205"/>
    <n v="34171.300000000003"/>
    <n v="0.24738824635536227"/>
    <n v="3.7945736434108528"/>
    <n v="0.25365853658536586"/>
  </r>
  <r>
    <x v="1"/>
    <x v="15"/>
    <x v="29"/>
    <n v="288"/>
    <n v="238"/>
    <n v="40698.93"/>
    <n v="0.1951880163929921"/>
    <n v="4.1358885017421603"/>
    <n v="5.8823529411764705E-2"/>
  </r>
  <r>
    <x v="1"/>
    <x v="16"/>
    <x v="29"/>
    <n v="292"/>
    <n v="230"/>
    <n v="43181.16"/>
    <n v="0.20131390146434319"/>
    <n v="4.2692307692307692"/>
    <n v="6.9565217391304349E-2"/>
  </r>
  <r>
    <x v="1"/>
    <x v="17"/>
    <x v="29"/>
    <n v="185"/>
    <n v="149"/>
    <n v="23126.03"/>
    <n v="0.25956749707264831"/>
    <n v="4.2540540540540537"/>
    <n v="6.7114093959731542E-3"/>
  </r>
  <r>
    <x v="1"/>
    <x v="18"/>
    <x v="29"/>
    <n v="179"/>
    <n v="154"/>
    <n v="31122.91"/>
    <n v="0.2582750926163816"/>
    <n v="4.2584269662921352"/>
    <n v="5.1948051948051951E-2"/>
  </r>
  <r>
    <x v="1"/>
    <x v="19"/>
    <x v="29"/>
    <n v="138"/>
    <n v="122"/>
    <n v="20388.16"/>
    <n v="0.27373943920046684"/>
    <n v="4.218978102189781"/>
    <n v="2.4590163934426229E-2"/>
  </r>
  <r>
    <x v="0"/>
    <x v="3"/>
    <x v="30"/>
    <n v="1"/>
    <n v="1"/>
    <n v="130.80000000000001"/>
    <n v="0.1636085626911315"/>
    <n v="4"/>
    <n v="0"/>
  </r>
  <r>
    <x v="0"/>
    <x v="4"/>
    <x v="30"/>
    <n v="3"/>
    <n v="3"/>
    <n v="731.88"/>
    <n v="0.19475403857104204"/>
    <n v="3.6666666666666665"/>
    <n v="0"/>
  </r>
  <r>
    <x v="0"/>
    <x v="6"/>
    <x v="30"/>
    <n v="1"/>
    <n v="1"/>
    <n v="178.53"/>
    <n v="0.38721783453761272"/>
    <n v="1"/>
    <n v="0"/>
  </r>
  <r>
    <x v="0"/>
    <x v="7"/>
    <x v="30"/>
    <n v="2"/>
    <n v="2"/>
    <n v="633.66"/>
    <n v="0.22334210774441104"/>
    <n v="4.5"/>
    <n v="0"/>
  </r>
  <r>
    <x v="0"/>
    <x v="8"/>
    <x v="30"/>
    <n v="1"/>
    <n v="1"/>
    <n v="133.82"/>
    <n v="0.35360932596024508"/>
    <n v="5"/>
    <n v="0"/>
  </r>
  <r>
    <x v="0"/>
    <x v="10"/>
    <x v="30"/>
    <n v="2"/>
    <n v="2"/>
    <n v="412.81"/>
    <n v="0.22683255631974697"/>
    <n v="3"/>
    <n v="0.5"/>
  </r>
  <r>
    <x v="0"/>
    <x v="11"/>
    <x v="30"/>
    <n v="8"/>
    <n v="8"/>
    <n v="1088.4000000000001"/>
    <n v="0.29558349740992995"/>
    <n v="4.5"/>
    <n v="0"/>
  </r>
  <r>
    <x v="1"/>
    <x v="12"/>
    <x v="30"/>
    <n v="9"/>
    <n v="9"/>
    <n v="1270.4000000000001"/>
    <n v="0.34716767160923179"/>
    <n v="4.333333333333333"/>
    <n v="0"/>
  </r>
  <r>
    <x v="1"/>
    <x v="13"/>
    <x v="30"/>
    <n v="6"/>
    <n v="6"/>
    <n v="691.48"/>
    <n v="0.43946283629410504"/>
    <n v="2.6666666666666665"/>
    <n v="0.5"/>
  </r>
  <r>
    <x v="1"/>
    <x v="14"/>
    <x v="30"/>
    <n v="4"/>
    <n v="4"/>
    <n v="584.92999999999995"/>
    <n v="0.24582038823147553"/>
    <n v="3.3333333333333335"/>
    <n v="0.25"/>
  </r>
  <r>
    <x v="1"/>
    <x v="18"/>
    <x v="30"/>
    <n v="1"/>
    <n v="1"/>
    <n v="141.83000000000001"/>
    <n v="8.4114785306352677E-2"/>
    <n v="3"/>
    <n v="0"/>
  </r>
  <r>
    <x v="0"/>
    <x v="0"/>
    <x v="31"/>
    <n v="10"/>
    <n v="8"/>
    <n v="1519.22"/>
    <n v="0.17950592927959397"/>
    <n v="4.8"/>
    <n v="0"/>
  </r>
  <r>
    <x v="0"/>
    <x v="1"/>
    <x v="31"/>
    <n v="24"/>
    <n v="15"/>
    <n v="4841.3999999999996"/>
    <n v="0.22527106974391864"/>
    <n v="3.7391304347826089"/>
    <n v="6.6666666666666666E-2"/>
  </r>
  <r>
    <x v="0"/>
    <x v="2"/>
    <x v="31"/>
    <n v="24"/>
    <n v="17"/>
    <n v="4035.67"/>
    <n v="0.19047601445821191"/>
    <n v="4.1739130434782608"/>
    <n v="5.8823529411764705E-2"/>
  </r>
  <r>
    <x v="0"/>
    <x v="3"/>
    <x v="31"/>
    <n v="12"/>
    <n v="11"/>
    <n v="2526.11"/>
    <n v="0.20224769643718868"/>
    <n v="3.75"/>
    <n v="0.27272727272727271"/>
  </r>
  <r>
    <x v="0"/>
    <x v="4"/>
    <x v="31"/>
    <n v="34"/>
    <n v="29"/>
    <n v="6240.77"/>
    <n v="0.2377901112771216"/>
    <n v="3.6666666666666665"/>
    <n v="0.17241379310344829"/>
  </r>
  <r>
    <x v="0"/>
    <x v="5"/>
    <x v="31"/>
    <n v="15"/>
    <n v="12"/>
    <n v="2242.91"/>
    <n v="0.23601685095967834"/>
    <n v="4.5"/>
    <n v="0"/>
  </r>
  <r>
    <x v="0"/>
    <x v="6"/>
    <x v="31"/>
    <n v="31"/>
    <n v="27"/>
    <n v="5375.86"/>
    <n v="0.20617975204311159"/>
    <n v="4.096774193548387"/>
    <n v="3.7037037037037035E-2"/>
  </r>
  <r>
    <x v="0"/>
    <x v="7"/>
    <x v="31"/>
    <n v="23"/>
    <n v="21"/>
    <n v="3158.06"/>
    <n v="0.24074473241763783"/>
    <n v="4.3181818181818183"/>
    <n v="0"/>
  </r>
  <r>
    <x v="0"/>
    <x v="8"/>
    <x v="31"/>
    <n v="11"/>
    <n v="11"/>
    <n v="1562.83"/>
    <n v="0.22731633673046328"/>
    <n v="4.5454545454545459"/>
    <n v="0"/>
  </r>
  <r>
    <x v="0"/>
    <x v="9"/>
    <x v="31"/>
    <n v="19"/>
    <n v="13"/>
    <n v="2008.98"/>
    <n v="0.29082801559238891"/>
    <n v="4.4210526315789478"/>
    <n v="0.15384615384615385"/>
  </r>
  <r>
    <x v="0"/>
    <x v="10"/>
    <x v="31"/>
    <n v="39"/>
    <n v="29"/>
    <n v="7657.9"/>
    <n v="0.21409776120844792"/>
    <n v="3.3684210526315788"/>
    <n v="0.10344827586206896"/>
  </r>
  <r>
    <x v="0"/>
    <x v="11"/>
    <x v="31"/>
    <n v="20"/>
    <n v="16"/>
    <n v="2940.88"/>
    <n v="0.27616911878041583"/>
    <n v="4.117647058823529"/>
    <n v="6.25E-2"/>
  </r>
  <r>
    <x v="1"/>
    <x v="12"/>
    <x v="31"/>
    <n v="22"/>
    <n v="22"/>
    <n v="2861.95"/>
    <n v="0.21325156150899943"/>
    <n v="4.4090909090909092"/>
    <n v="4.5454545454545456E-2"/>
  </r>
  <r>
    <x v="1"/>
    <x v="13"/>
    <x v="31"/>
    <n v="26"/>
    <n v="19"/>
    <n v="5962.08"/>
    <n v="0.25584341208130645"/>
    <n v="3"/>
    <n v="0.21052631578947367"/>
  </r>
  <r>
    <x v="1"/>
    <x v="14"/>
    <x v="31"/>
    <n v="19"/>
    <n v="19"/>
    <n v="4279.8"/>
    <n v="0.21361652647745585"/>
    <n v="3.5263157894736841"/>
    <n v="0.10526315789473684"/>
  </r>
  <r>
    <x v="1"/>
    <x v="15"/>
    <x v="31"/>
    <n v="34"/>
    <n v="25"/>
    <n v="6219.96"/>
    <n v="0.22551905570127559"/>
    <n v="2.8823529411764706"/>
    <n v="0.08"/>
  </r>
  <r>
    <x v="1"/>
    <x v="16"/>
    <x v="31"/>
    <n v="16"/>
    <n v="13"/>
    <n v="3390.1"/>
    <n v="0.216447071408509"/>
    <n v="4"/>
    <n v="0"/>
  </r>
  <r>
    <x v="1"/>
    <x v="17"/>
    <x v="31"/>
    <n v="29"/>
    <n v="27"/>
    <n v="4529.6499999999996"/>
    <n v="0.23706212902867782"/>
    <n v="4.4137931034482758"/>
    <n v="0"/>
  </r>
  <r>
    <x v="1"/>
    <x v="18"/>
    <x v="31"/>
    <n v="55"/>
    <n v="50"/>
    <n v="8840.31"/>
    <n v="0.26197856015737003"/>
    <n v="4.1818181818181817"/>
    <n v="0.08"/>
  </r>
  <r>
    <x v="1"/>
    <x v="19"/>
    <x v="31"/>
    <n v="40"/>
    <n v="38"/>
    <n v="6690.29"/>
    <n v="0.23067402271098944"/>
    <n v="3.7749999999999999"/>
    <n v="0.13157894736842105"/>
  </r>
  <r>
    <x v="0"/>
    <x v="0"/>
    <x v="32"/>
    <n v="183"/>
    <n v="137"/>
    <n v="16547.87"/>
    <n v="0.22843555915371477"/>
    <n v="3.7931034482758621"/>
    <n v="5.8394160583941604E-2"/>
  </r>
  <r>
    <x v="0"/>
    <x v="1"/>
    <x v="32"/>
    <n v="266"/>
    <n v="221"/>
    <n v="26262.32"/>
    <n v="0.24370096636470306"/>
    <n v="3.8333333333333335"/>
    <n v="5.4298642533936653E-2"/>
  </r>
  <r>
    <x v="0"/>
    <x v="2"/>
    <x v="32"/>
    <n v="329"/>
    <n v="265"/>
    <n v="29669.86"/>
    <n v="0.245191948111427"/>
    <n v="3.9723076923076923"/>
    <n v="7.5471698113207544E-2"/>
  </r>
  <r>
    <x v="0"/>
    <x v="3"/>
    <x v="32"/>
    <n v="203"/>
    <n v="169"/>
    <n v="26128.42"/>
    <n v="0.22335803691048811"/>
    <n v="3.9137055837563453"/>
    <n v="7.6923076923076927E-2"/>
  </r>
  <r>
    <x v="0"/>
    <x v="4"/>
    <x v="32"/>
    <n v="281"/>
    <n v="234"/>
    <n v="30122.94"/>
    <n v="0.24336392797122186"/>
    <n v="3.8791208791208791"/>
    <n v="5.9829059829059832E-2"/>
  </r>
  <r>
    <x v="0"/>
    <x v="5"/>
    <x v="32"/>
    <n v="233"/>
    <n v="180"/>
    <n v="22017.99"/>
    <n v="0.26978315035998851"/>
    <n v="4.2173913043478262"/>
    <n v="3.3333333333333333E-2"/>
  </r>
  <r>
    <x v="0"/>
    <x v="6"/>
    <x v="32"/>
    <n v="320"/>
    <n v="253"/>
    <n v="30630.86"/>
    <n v="0.23487416679199752"/>
    <n v="4.0746753246753249"/>
    <n v="3.1620553359683792E-2"/>
  </r>
  <r>
    <x v="0"/>
    <x v="7"/>
    <x v="32"/>
    <n v="443"/>
    <n v="332"/>
    <n v="44704.08"/>
    <n v="0.23460611231683395"/>
    <n v="4.1007025761124121"/>
    <n v="7.2289156626506021E-2"/>
  </r>
  <r>
    <x v="0"/>
    <x v="8"/>
    <x v="32"/>
    <n v="348"/>
    <n v="275"/>
    <n v="38355.120000000003"/>
    <n v="0.24040165039114861"/>
    <n v="4.1483679525222552"/>
    <n v="5.8181818181818182E-2"/>
  </r>
  <r>
    <x v="0"/>
    <x v="9"/>
    <x v="32"/>
    <n v="382"/>
    <n v="270"/>
    <n v="38152.03"/>
    <n v="0.24890528630593056"/>
    <n v="3.9236842105263157"/>
    <n v="4.8148148148148148E-2"/>
  </r>
  <r>
    <x v="0"/>
    <x v="10"/>
    <x v="32"/>
    <n v="789"/>
    <n v="547"/>
    <n v="78781.52"/>
    <n v="0.23426455367083246"/>
    <n v="3.622715404699739"/>
    <n v="0.20475319926873858"/>
  </r>
  <r>
    <x v="0"/>
    <x v="11"/>
    <x v="32"/>
    <n v="391"/>
    <n v="315"/>
    <n v="39530.589999999997"/>
    <n v="0.23328873021094396"/>
    <n v="3.8743455497382198"/>
    <n v="0.10476190476190476"/>
  </r>
  <r>
    <x v="1"/>
    <x v="12"/>
    <x v="32"/>
    <n v="616"/>
    <n v="478"/>
    <n v="68114.61"/>
    <n v="0.21982353009924768"/>
    <n v="3.9130434782608696"/>
    <n v="5.8577405857740586E-2"/>
  </r>
  <r>
    <x v="1"/>
    <x v="13"/>
    <x v="32"/>
    <n v="434"/>
    <n v="342"/>
    <n v="46886.49"/>
    <n v="0.22006509164064617"/>
    <n v="3.5465393794749405"/>
    <n v="0.19883040935672514"/>
  </r>
  <r>
    <x v="1"/>
    <x v="14"/>
    <x v="32"/>
    <n v="600"/>
    <n v="442"/>
    <n v="66160.600000000006"/>
    <n v="0.24481463020856581"/>
    <n v="3.495697074010327"/>
    <n v="0.21719457013574661"/>
  </r>
  <r>
    <x v="1"/>
    <x v="15"/>
    <x v="32"/>
    <n v="595"/>
    <n v="466"/>
    <n v="68481.539999999994"/>
    <n v="0.20942434659033204"/>
    <n v="3.9612794612794615"/>
    <n v="3.0042918454935622E-2"/>
  </r>
  <r>
    <x v="1"/>
    <x v="16"/>
    <x v="32"/>
    <n v="605"/>
    <n v="462"/>
    <n v="65724.639999999999"/>
    <n v="0.19385611622082546"/>
    <n v="4.0248756218905477"/>
    <n v="9.9567099567099568E-2"/>
  </r>
  <r>
    <x v="1"/>
    <x v="17"/>
    <x v="32"/>
    <n v="405"/>
    <n v="318"/>
    <n v="52528.92"/>
    <n v="0.24772788248964508"/>
    <n v="4.0371287128712874"/>
    <n v="3.1446540880503146E-3"/>
  </r>
  <r>
    <x v="1"/>
    <x v="18"/>
    <x v="32"/>
    <n v="440"/>
    <n v="347"/>
    <n v="57406.26"/>
    <n v="0.23908188706081293"/>
    <n v="4.3341013824884795"/>
    <n v="4.0345821325648415E-2"/>
  </r>
  <r>
    <x v="1"/>
    <x v="19"/>
    <x v="32"/>
    <n v="433"/>
    <n v="344"/>
    <n v="51976.65"/>
    <n v="0.24433647894972019"/>
    <n v="4.1064814814814818"/>
    <n v="8.1395348837209308E-2"/>
  </r>
  <r>
    <x v="0"/>
    <x v="0"/>
    <x v="33"/>
    <n v="8"/>
    <n v="8"/>
    <n v="148.76"/>
    <n v="0.50658501079447815"/>
    <n v="5"/>
    <n v="0"/>
  </r>
  <r>
    <x v="0"/>
    <x v="1"/>
    <x v="33"/>
    <n v="1"/>
    <n v="1"/>
    <n v="501.88"/>
    <n v="0.10337132382242767"/>
    <n v="5"/>
    <n v="0"/>
  </r>
  <r>
    <x v="0"/>
    <x v="3"/>
    <x v="33"/>
    <n v="5"/>
    <n v="4"/>
    <n v="1091.28"/>
    <n v="0.18951518956943678"/>
    <n v="1.6"/>
    <n v="0.25"/>
  </r>
  <r>
    <x v="0"/>
    <x v="4"/>
    <x v="33"/>
    <n v="9"/>
    <n v="6"/>
    <n v="2658.95"/>
    <n v="0.14249249673064959"/>
    <n v="4.5555555555555554"/>
    <n v="0"/>
  </r>
  <r>
    <x v="0"/>
    <x v="5"/>
    <x v="33"/>
    <n v="2"/>
    <n v="2"/>
    <n v="351.68"/>
    <n v="0.12061867351089425"/>
    <n v="5"/>
    <n v="0"/>
  </r>
  <r>
    <x v="0"/>
    <x v="6"/>
    <x v="33"/>
    <n v="5"/>
    <n v="5"/>
    <n v="1596.63"/>
    <n v="0.28044423167905508"/>
    <n v="3.6"/>
    <n v="0"/>
  </r>
  <r>
    <x v="0"/>
    <x v="7"/>
    <x v="33"/>
    <n v="3"/>
    <n v="3"/>
    <n v="702.36"/>
    <n v="0.12091447418647436"/>
    <n v="4.666666666666667"/>
    <n v="0"/>
  </r>
  <r>
    <x v="0"/>
    <x v="8"/>
    <x v="33"/>
    <n v="4"/>
    <n v="3"/>
    <n v="923.98"/>
    <n v="0.22908019803248511"/>
    <n v="5"/>
    <n v="0"/>
  </r>
  <r>
    <x v="0"/>
    <x v="9"/>
    <x v="33"/>
    <n v="4"/>
    <n v="4"/>
    <n v="1411.85"/>
    <n v="0.16915991657036905"/>
    <n v="4.75"/>
    <n v="0"/>
  </r>
  <r>
    <x v="0"/>
    <x v="10"/>
    <x v="33"/>
    <n v="3"/>
    <n v="3"/>
    <n v="1050.46"/>
    <n v="0.19422763878872848"/>
    <n v="3.3333333333333335"/>
    <n v="0.66666666666666663"/>
  </r>
  <r>
    <x v="0"/>
    <x v="11"/>
    <x v="33"/>
    <n v="1"/>
    <n v="1"/>
    <n v="230.75"/>
    <n v="0.19826652221018418"/>
    <n v="5"/>
    <n v="0"/>
  </r>
  <r>
    <x v="1"/>
    <x v="12"/>
    <x v="33"/>
    <n v="5"/>
    <n v="5"/>
    <n v="1065.04"/>
    <n v="0.13986819444293494"/>
    <n v="3.6"/>
    <n v="0"/>
  </r>
  <r>
    <x v="1"/>
    <x v="13"/>
    <x v="33"/>
    <n v="8"/>
    <n v="7"/>
    <n v="1395.1"/>
    <n v="0.26344412558282315"/>
    <n v="4.166666666666667"/>
    <n v="0"/>
  </r>
  <r>
    <x v="1"/>
    <x v="14"/>
    <x v="33"/>
    <n v="6"/>
    <n v="6"/>
    <n v="1265.69"/>
    <n v="0.1653409752424517"/>
    <n v="4.166666666666667"/>
    <n v="0.16666666666666666"/>
  </r>
  <r>
    <x v="1"/>
    <x v="15"/>
    <x v="33"/>
    <n v="8"/>
    <n v="7"/>
    <n v="1849.22"/>
    <n v="0.19832872429753018"/>
    <n v="4"/>
    <n v="0.14285714285714285"/>
  </r>
  <r>
    <x v="1"/>
    <x v="16"/>
    <x v="33"/>
    <n v="6"/>
    <n v="5"/>
    <n v="1816.91"/>
    <n v="0.21572029748648561"/>
    <n v="4.166666666666667"/>
    <n v="0"/>
  </r>
  <r>
    <x v="1"/>
    <x v="17"/>
    <x v="33"/>
    <n v="9"/>
    <n v="8"/>
    <n v="1941.82"/>
    <n v="0.21573255528186847"/>
    <n v="3.8888888888888888"/>
    <n v="0"/>
  </r>
  <r>
    <x v="1"/>
    <x v="18"/>
    <x v="33"/>
    <n v="10"/>
    <n v="7"/>
    <n v="1838.77"/>
    <n v="0.25148586106206366"/>
    <n v="3.7"/>
    <n v="0"/>
  </r>
  <r>
    <x v="1"/>
    <x v="19"/>
    <x v="33"/>
    <n v="12"/>
    <n v="10"/>
    <n v="2819.88"/>
    <n v="0.23207385203339198"/>
    <n v="4.333333333333333"/>
    <n v="0.2"/>
  </r>
  <r>
    <x v="0"/>
    <x v="2"/>
    <x v="34"/>
    <n v="5"/>
    <n v="5"/>
    <n v="168.89"/>
    <n v="0.37789848545326316"/>
    <n v="5"/>
    <n v="0"/>
  </r>
  <r>
    <x v="0"/>
    <x v="3"/>
    <x v="34"/>
    <n v="3"/>
    <n v="2"/>
    <n v="80.78"/>
    <n v="0.40828199193499815"/>
    <n v="3.6666666666666665"/>
    <n v="0"/>
  </r>
  <r>
    <x v="0"/>
    <x v="4"/>
    <x v="34"/>
    <n v="17"/>
    <n v="12"/>
    <n v="630.41"/>
    <n v="0.38611428985787521"/>
    <n v="4.3529411764705879"/>
    <n v="0"/>
  </r>
  <r>
    <x v="0"/>
    <x v="5"/>
    <x v="34"/>
    <n v="2"/>
    <n v="2"/>
    <n v="82.78"/>
    <n v="0.30024430095569798"/>
    <n v="5"/>
    <n v="0"/>
  </r>
  <r>
    <x v="0"/>
    <x v="6"/>
    <x v="34"/>
    <n v="8"/>
    <n v="7"/>
    <n v="261.68"/>
    <n v="0.36592598450731234"/>
    <n v="4.625"/>
    <n v="0"/>
  </r>
  <r>
    <x v="0"/>
    <x v="7"/>
    <x v="34"/>
    <n v="15"/>
    <n v="12"/>
    <n v="728.95"/>
    <n v="0.3438318051089117"/>
    <n v="4.7333333333333334"/>
    <n v="0"/>
  </r>
  <r>
    <x v="0"/>
    <x v="8"/>
    <x v="34"/>
    <n v="9"/>
    <n v="6"/>
    <n v="444.78"/>
    <n v="0.30526304386668052"/>
    <n v="2.6666666666666665"/>
    <n v="0.66666666666666663"/>
  </r>
  <r>
    <x v="0"/>
    <x v="9"/>
    <x v="34"/>
    <n v="17"/>
    <n v="15"/>
    <n v="2654.99"/>
    <n v="0.19651987118928124"/>
    <n v="4.8235294117647056"/>
    <n v="0.13333333333333333"/>
  </r>
  <r>
    <x v="0"/>
    <x v="10"/>
    <x v="34"/>
    <n v="33"/>
    <n v="28"/>
    <n v="3031.35"/>
    <n v="0.27820391464775063"/>
    <n v="3.5483870967741935"/>
    <n v="7.1428571428571425E-2"/>
  </r>
  <r>
    <x v="0"/>
    <x v="11"/>
    <x v="34"/>
    <n v="22"/>
    <n v="19"/>
    <n v="1484.86"/>
    <n v="0.29035460974895422"/>
    <n v="4.5909090909090908"/>
    <n v="0"/>
  </r>
  <r>
    <x v="1"/>
    <x v="12"/>
    <x v="34"/>
    <n v="11"/>
    <n v="10"/>
    <n v="529.22"/>
    <n v="0.40471010980892747"/>
    <n v="4.2727272727272725"/>
    <n v="0"/>
  </r>
  <r>
    <x v="1"/>
    <x v="13"/>
    <x v="34"/>
    <n v="24"/>
    <n v="21"/>
    <n v="1387.34"/>
    <n v="0.27196418267444877"/>
    <n v="4.1304347826086953"/>
    <n v="4.7619047619047616E-2"/>
  </r>
  <r>
    <x v="1"/>
    <x v="14"/>
    <x v="34"/>
    <n v="19"/>
    <n v="17"/>
    <n v="2623.5"/>
    <n v="0.19802978232294041"/>
    <n v="4.4736842105263159"/>
    <n v="0.11764705882352941"/>
  </r>
  <r>
    <x v="1"/>
    <x v="15"/>
    <x v="34"/>
    <n v="18"/>
    <n v="16"/>
    <n v="885.03"/>
    <n v="0.3275862589937909"/>
    <n v="4.5"/>
    <n v="0"/>
  </r>
  <r>
    <x v="1"/>
    <x v="16"/>
    <x v="34"/>
    <n v="25"/>
    <n v="15"/>
    <n v="1674.74"/>
    <n v="0.29701226944647846"/>
    <n v="4.68"/>
    <n v="0"/>
  </r>
  <r>
    <x v="1"/>
    <x v="17"/>
    <x v="34"/>
    <n v="11"/>
    <n v="9"/>
    <n v="512.80999999999995"/>
    <n v="0.45149819032411481"/>
    <n v="3.3636363636363638"/>
    <n v="0"/>
  </r>
  <r>
    <x v="1"/>
    <x v="18"/>
    <x v="34"/>
    <n v="18"/>
    <n v="15"/>
    <n v="1164.97"/>
    <n v="0.30332349042382428"/>
    <n v="4.3888888888888893"/>
    <n v="0"/>
  </r>
  <r>
    <x v="1"/>
    <x v="19"/>
    <x v="34"/>
    <n v="21"/>
    <n v="16"/>
    <n v="1340.39"/>
    <n v="0.28016109967133385"/>
    <n v="4.8095238095238093"/>
    <n v="0"/>
  </r>
  <r>
    <x v="0"/>
    <x v="0"/>
    <x v="35"/>
    <n v="2"/>
    <n v="2"/>
    <n v="78.819999999999993"/>
    <n v="0.4679102410194847"/>
    <n v="5"/>
    <n v="0"/>
  </r>
  <r>
    <x v="0"/>
    <x v="1"/>
    <x v="35"/>
    <n v="9"/>
    <n v="9"/>
    <n v="930.2"/>
    <n v="0.33432688571552566"/>
    <n v="3.8888888888888888"/>
    <n v="0.1111111111111111"/>
  </r>
  <r>
    <x v="0"/>
    <x v="2"/>
    <x v="35"/>
    <n v="24"/>
    <n v="22"/>
    <n v="3158.99"/>
    <n v="0.20837216936833977"/>
    <n v="3.9583333333333335"/>
    <n v="4.5454545454545456E-2"/>
  </r>
  <r>
    <x v="0"/>
    <x v="3"/>
    <x v="35"/>
    <n v="8"/>
    <n v="8"/>
    <n v="611.15"/>
    <n v="0.24255288342434958"/>
    <n v="4.25"/>
    <n v="0.125"/>
  </r>
  <r>
    <x v="0"/>
    <x v="4"/>
    <x v="35"/>
    <n v="3"/>
    <n v="3"/>
    <n v="452.25"/>
    <n v="0.13385549362013058"/>
    <n v="3.3333333333333335"/>
    <n v="0.33333333333333331"/>
  </r>
  <r>
    <x v="0"/>
    <x v="5"/>
    <x v="35"/>
    <n v="1"/>
    <n v="1"/>
    <n v="171.79"/>
    <n v="0.12742301647360149"/>
    <n v="5"/>
    <n v="0"/>
  </r>
  <r>
    <x v="0"/>
    <x v="6"/>
    <x v="35"/>
    <n v="7"/>
    <n v="7"/>
    <n v="754.19"/>
    <n v="0.25287773340003272"/>
    <n v="5"/>
    <n v="0"/>
  </r>
  <r>
    <x v="0"/>
    <x v="7"/>
    <x v="35"/>
    <n v="8"/>
    <n v="8"/>
    <n v="500.23"/>
    <n v="0.32280888965173976"/>
    <n v="4.75"/>
    <n v="0"/>
  </r>
  <r>
    <x v="0"/>
    <x v="8"/>
    <x v="35"/>
    <n v="17"/>
    <n v="13"/>
    <n v="1239.2"/>
    <n v="0.24567323661957011"/>
    <n v="4.2941176470588234"/>
    <n v="7.6923076923076927E-2"/>
  </r>
  <r>
    <x v="0"/>
    <x v="9"/>
    <x v="35"/>
    <n v="17"/>
    <n v="12"/>
    <n v="1022.42"/>
    <n v="0.24197631122816654"/>
    <n v="4.7272727272727275"/>
    <n v="0"/>
  </r>
  <r>
    <x v="0"/>
    <x v="10"/>
    <x v="35"/>
    <n v="17"/>
    <n v="11"/>
    <n v="771.28"/>
    <n v="0.31418347238870781"/>
    <n v="4"/>
    <n v="0"/>
  </r>
  <r>
    <x v="0"/>
    <x v="11"/>
    <x v="35"/>
    <n v="14"/>
    <n v="12"/>
    <n v="1167.94"/>
    <n v="0.22067621165282159"/>
    <n v="4.1818181818181817"/>
    <n v="0"/>
  </r>
  <r>
    <x v="1"/>
    <x v="12"/>
    <x v="35"/>
    <n v="20"/>
    <n v="19"/>
    <n v="1133.07"/>
    <n v="0.24869506957160922"/>
    <n v="3.6"/>
    <n v="0.15789473684210525"/>
  </r>
  <r>
    <x v="1"/>
    <x v="13"/>
    <x v="35"/>
    <n v="39"/>
    <n v="31"/>
    <n v="2437.19"/>
    <n v="0.25426292306632048"/>
    <n v="3.6666666666666665"/>
    <n v="6.4516129032258063E-2"/>
  </r>
  <r>
    <x v="1"/>
    <x v="14"/>
    <x v="35"/>
    <n v="35"/>
    <n v="33"/>
    <n v="2068.59"/>
    <n v="0.26492723688063746"/>
    <n v="3.7714285714285714"/>
    <n v="0.21212121212121213"/>
  </r>
  <r>
    <x v="1"/>
    <x v="15"/>
    <x v="35"/>
    <n v="40"/>
    <n v="36"/>
    <n v="2219.9899999999998"/>
    <n v="0.25404696747917999"/>
    <n v="4.4615384615384617"/>
    <n v="2.7777777777777776E-2"/>
  </r>
  <r>
    <x v="1"/>
    <x v="16"/>
    <x v="35"/>
    <n v="44"/>
    <n v="36"/>
    <n v="2079.48"/>
    <n v="0.27014681694309017"/>
    <n v="4.4772727272727275"/>
    <n v="5.5555555555555552E-2"/>
  </r>
  <r>
    <x v="1"/>
    <x v="17"/>
    <x v="35"/>
    <n v="24"/>
    <n v="24"/>
    <n v="1693.59"/>
    <n v="0.24185152196976556"/>
    <n v="4.041666666666667"/>
    <n v="4.1666666666666664E-2"/>
  </r>
  <r>
    <x v="1"/>
    <x v="18"/>
    <x v="35"/>
    <n v="64"/>
    <n v="59"/>
    <n v="4401.42"/>
    <n v="0.2689772523176539"/>
    <n v="4.290322580645161"/>
    <n v="1.6949152542372881E-2"/>
  </r>
  <r>
    <x v="1"/>
    <x v="19"/>
    <x v="35"/>
    <n v="116"/>
    <n v="103"/>
    <n v="9676.42"/>
    <n v="0.16836308334216951"/>
    <n v="4.4741379310344831"/>
    <n v="0.12621359223300971"/>
  </r>
  <r>
    <x v="0"/>
    <x v="10"/>
    <x v="36"/>
    <n v="6"/>
    <n v="6"/>
    <n v="269.29000000000002"/>
    <n v="0.34903350313604109"/>
    <n v="4.333333333333333"/>
    <n v="0"/>
  </r>
  <r>
    <x v="0"/>
    <x v="11"/>
    <x v="36"/>
    <n v="2"/>
    <n v="2"/>
    <n v="112.98"/>
    <n v="0.30266895211233535"/>
    <n v="5"/>
    <n v="0"/>
  </r>
  <r>
    <x v="1"/>
    <x v="12"/>
    <x v="36"/>
    <n v="10"/>
    <n v="7"/>
    <n v="438.26"/>
    <n v="0.37459524368006952"/>
    <n v="4.25"/>
    <n v="0.14285714285714285"/>
  </r>
  <r>
    <x v="1"/>
    <x v="13"/>
    <x v="36"/>
    <n v="4"/>
    <n v="4"/>
    <n v="187.7"/>
    <n v="0.32252471378820002"/>
    <n v="4.75"/>
    <n v="0"/>
  </r>
  <r>
    <x v="1"/>
    <x v="14"/>
    <x v="36"/>
    <n v="3"/>
    <n v="3"/>
    <n v="136.41"/>
    <n v="0.340500737338014"/>
    <n v="5"/>
    <n v="0"/>
  </r>
  <r>
    <x v="1"/>
    <x v="15"/>
    <x v="36"/>
    <n v="3"/>
    <n v="3"/>
    <n v="194.49"/>
    <n v="0.18686569492246558"/>
    <n v="3.3333333333333335"/>
    <n v="0"/>
  </r>
  <r>
    <x v="1"/>
    <x v="16"/>
    <x v="36"/>
    <n v="1"/>
    <n v="1"/>
    <n v="35.72"/>
    <n v="0.54087346024636063"/>
    <n v="3"/>
    <n v="0"/>
  </r>
  <r>
    <x v="1"/>
    <x v="17"/>
    <x v="36"/>
    <n v="2"/>
    <n v="1"/>
    <n v="140.69999999999999"/>
    <n v="0.23240938166311301"/>
    <n v="5"/>
    <n v="0"/>
  </r>
  <r>
    <x v="1"/>
    <x v="18"/>
    <x v="36"/>
    <n v="2"/>
    <n v="2"/>
    <n v="83.36"/>
    <n v="0.43345544024906013"/>
    <n v="5"/>
    <n v="0"/>
  </r>
  <r>
    <x v="0"/>
    <x v="0"/>
    <x v="37"/>
    <n v="22"/>
    <n v="19"/>
    <n v="969.56"/>
    <n v="0.41887215257081906"/>
    <n v="4.3"/>
    <n v="0"/>
  </r>
  <r>
    <x v="0"/>
    <x v="1"/>
    <x v="37"/>
    <n v="22"/>
    <n v="18"/>
    <n v="1124.8900000000001"/>
    <n v="0.40296498453088175"/>
    <n v="4.1363636363636367"/>
    <n v="0"/>
  </r>
  <r>
    <x v="0"/>
    <x v="2"/>
    <x v="37"/>
    <n v="21"/>
    <n v="15"/>
    <n v="1919.13"/>
    <n v="0.22815626863609079"/>
    <n v="3.1428571428571428"/>
    <n v="0"/>
  </r>
  <r>
    <x v="0"/>
    <x v="3"/>
    <x v="37"/>
    <n v="11"/>
    <n v="7"/>
    <n v="3168.77"/>
    <n v="0.19904685583805906"/>
    <n v="3.0909090909090908"/>
    <n v="0.14285714285714285"/>
  </r>
  <r>
    <x v="0"/>
    <x v="4"/>
    <x v="37"/>
    <n v="10"/>
    <n v="10"/>
    <n v="607.63"/>
    <n v="0.29571184024266012"/>
    <n v="3.1"/>
    <n v="0.1"/>
  </r>
  <r>
    <x v="0"/>
    <x v="5"/>
    <x v="37"/>
    <n v="12"/>
    <n v="12"/>
    <n v="1141.43"/>
    <n v="0.29100768113671172"/>
    <n v="4.333333333333333"/>
    <n v="0"/>
  </r>
  <r>
    <x v="0"/>
    <x v="6"/>
    <x v="37"/>
    <n v="9"/>
    <n v="8"/>
    <n v="348.27"/>
    <n v="0.38011369999923278"/>
    <n v="3.4444444444444442"/>
    <n v="0"/>
  </r>
  <r>
    <x v="0"/>
    <x v="7"/>
    <x v="37"/>
    <n v="20"/>
    <n v="14"/>
    <n v="3640.31"/>
    <n v="0.20047951361606423"/>
    <n v="4.6500000000000004"/>
    <n v="0"/>
  </r>
  <r>
    <x v="0"/>
    <x v="8"/>
    <x v="37"/>
    <n v="13"/>
    <n v="6"/>
    <n v="13990.19"/>
    <n v="0.13147809357151738"/>
    <n v="2.2307692307692308"/>
    <n v="0"/>
  </r>
  <r>
    <x v="0"/>
    <x v="9"/>
    <x v="37"/>
    <n v="7"/>
    <n v="6"/>
    <n v="3906.03"/>
    <n v="0.11387401014998899"/>
    <n v="3.7142857142857144"/>
    <n v="0"/>
  </r>
  <r>
    <x v="0"/>
    <x v="10"/>
    <x v="37"/>
    <n v="5"/>
    <n v="5"/>
    <n v="1036.48"/>
    <n v="0.23037294609483044"/>
    <n v="4"/>
    <n v="0.2"/>
  </r>
  <r>
    <x v="0"/>
    <x v="11"/>
    <x v="37"/>
    <n v="5"/>
    <n v="5"/>
    <n v="1095.81"/>
    <n v="0.13772387300619759"/>
    <n v="4.4000000000000004"/>
    <n v="0"/>
  </r>
  <r>
    <x v="1"/>
    <x v="12"/>
    <x v="37"/>
    <n v="10"/>
    <n v="10"/>
    <n v="2633.55"/>
    <n v="0.24839283406159737"/>
    <n v="4.0999999999999996"/>
    <n v="0.2"/>
  </r>
  <r>
    <x v="1"/>
    <x v="13"/>
    <x v="37"/>
    <n v="12"/>
    <n v="10"/>
    <n v="6341.82"/>
    <n v="0.14154644441023348"/>
    <n v="2.6666666666666665"/>
    <n v="0.1"/>
  </r>
  <r>
    <x v="1"/>
    <x v="14"/>
    <x v="37"/>
    <n v="14"/>
    <n v="12"/>
    <n v="2200.84"/>
    <n v="0.1418508023153367"/>
    <n v="3.5714285714285716"/>
    <n v="0.16666666666666666"/>
  </r>
  <r>
    <x v="1"/>
    <x v="15"/>
    <x v="37"/>
    <n v="11"/>
    <n v="10"/>
    <n v="2127.6799999999998"/>
    <n v="0.19247716569099185"/>
    <n v="3.1818181818181817"/>
    <n v="0"/>
  </r>
  <r>
    <x v="1"/>
    <x v="16"/>
    <x v="37"/>
    <n v="17"/>
    <n v="12"/>
    <n v="2222.25"/>
    <n v="0.13174143050061327"/>
    <n v="3.2941176470588234"/>
    <n v="8.3333333333333329E-2"/>
  </r>
  <r>
    <x v="1"/>
    <x v="17"/>
    <x v="37"/>
    <n v="17"/>
    <n v="15"/>
    <n v="2422.52"/>
    <n v="0.19894927819306488"/>
    <n v="4.2352941176470589"/>
    <n v="0"/>
  </r>
  <r>
    <x v="1"/>
    <x v="18"/>
    <x v="37"/>
    <n v="11"/>
    <n v="8"/>
    <n v="9658.18"/>
    <n v="0.11178383030382431"/>
    <n v="3.2727272727272725"/>
    <n v="0"/>
  </r>
  <r>
    <x v="1"/>
    <x v="19"/>
    <x v="37"/>
    <n v="10"/>
    <n v="10"/>
    <n v="2891.02"/>
    <n v="0.12623571634592254"/>
    <n v="4.2"/>
    <n v="0.1"/>
  </r>
  <r>
    <x v="0"/>
    <x v="0"/>
    <x v="38"/>
    <n v="2"/>
    <n v="2"/>
    <n v="171.15"/>
    <n v="0.20826150801251356"/>
    <n v="3"/>
    <n v="0"/>
  </r>
  <r>
    <x v="0"/>
    <x v="1"/>
    <x v="38"/>
    <n v="8"/>
    <n v="6"/>
    <n v="507.83"/>
    <n v="0.24616776770858126"/>
    <n v="4"/>
    <n v="0.33333333333333331"/>
  </r>
  <r>
    <x v="0"/>
    <x v="2"/>
    <x v="38"/>
    <n v="6"/>
    <n v="6"/>
    <n v="460.62"/>
    <n v="0.24581414263461451"/>
    <n v="3.8333333333333335"/>
    <n v="0"/>
  </r>
  <r>
    <x v="0"/>
    <x v="3"/>
    <x v="38"/>
    <n v="4"/>
    <n v="4"/>
    <n v="159.66999999999999"/>
    <n v="0.49679698741407569"/>
    <n v="3.5"/>
    <n v="0"/>
  </r>
  <r>
    <x v="0"/>
    <x v="4"/>
    <x v="38"/>
    <n v="7"/>
    <n v="6"/>
    <n v="369.26"/>
    <n v="0.48881580687223608"/>
    <n v="4.2857142857142856"/>
    <n v="0"/>
  </r>
  <r>
    <x v="0"/>
    <x v="5"/>
    <x v="38"/>
    <n v="1"/>
    <n v="1"/>
    <n v="19"/>
    <n v="0.79473684210526319"/>
    <n v="5"/>
    <n v="0"/>
  </r>
  <r>
    <x v="0"/>
    <x v="6"/>
    <x v="38"/>
    <n v="3"/>
    <n v="3"/>
    <n v="314.48"/>
    <n v="0.14155309882100517"/>
    <n v="4"/>
    <n v="0"/>
  </r>
  <r>
    <x v="0"/>
    <x v="7"/>
    <x v="38"/>
    <n v="13"/>
    <n v="13"/>
    <n v="1308.8699999999999"/>
    <n v="0.16543562354456687"/>
    <n v="4.384615384615385"/>
    <n v="7.6923076923076927E-2"/>
  </r>
  <r>
    <x v="0"/>
    <x v="8"/>
    <x v="38"/>
    <n v="18"/>
    <n v="16"/>
    <n v="2056.2199999999998"/>
    <n v="0.14538988523851629"/>
    <n v="4.2222222222222223"/>
    <n v="0"/>
  </r>
  <r>
    <x v="0"/>
    <x v="9"/>
    <x v="38"/>
    <n v="3"/>
    <n v="3"/>
    <n v="222.95"/>
    <n v="0.18356956678952843"/>
    <n v="4.666666666666667"/>
    <n v="0"/>
  </r>
  <r>
    <x v="0"/>
    <x v="10"/>
    <x v="38"/>
    <n v="10"/>
    <n v="10"/>
    <n v="1391.86"/>
    <n v="0.13428526502288643"/>
    <n v="3.2"/>
    <n v="0.2"/>
  </r>
  <r>
    <x v="0"/>
    <x v="11"/>
    <x v="38"/>
    <n v="13"/>
    <n v="13"/>
    <n v="1359.62"/>
    <n v="0.15797164577991116"/>
    <n v="4.2307692307692308"/>
    <n v="0"/>
  </r>
  <r>
    <x v="1"/>
    <x v="12"/>
    <x v="38"/>
    <n v="8"/>
    <n v="8"/>
    <n v="877.02"/>
    <n v="0.16195039596985178"/>
    <n v="4.375"/>
    <n v="0"/>
  </r>
  <r>
    <x v="1"/>
    <x v="13"/>
    <x v="38"/>
    <n v="7"/>
    <n v="7"/>
    <n v="505.29"/>
    <n v="0.21205260760143435"/>
    <n v="2.8333333333333335"/>
    <n v="0.42857142857142855"/>
  </r>
  <r>
    <x v="1"/>
    <x v="14"/>
    <x v="38"/>
    <n v="5"/>
    <n v="5"/>
    <n v="368.41"/>
    <n v="0.21453901599252231"/>
    <n v="3"/>
    <n v="0.4"/>
  </r>
  <r>
    <x v="1"/>
    <x v="15"/>
    <x v="38"/>
    <n v="6"/>
    <n v="6"/>
    <n v="440.18"/>
    <n v="0.1874303494259858"/>
    <n v="4.166666666666667"/>
    <n v="0.16666666666666666"/>
  </r>
  <r>
    <x v="1"/>
    <x v="16"/>
    <x v="38"/>
    <n v="6"/>
    <n v="5"/>
    <n v="300.45999999999998"/>
    <n v="0.42119555182289276"/>
    <n v="4.5"/>
    <n v="0"/>
  </r>
  <r>
    <x v="1"/>
    <x v="17"/>
    <x v="38"/>
    <n v="7"/>
    <n v="3"/>
    <n v="236.76"/>
    <n v="0.6315489535739337"/>
    <n v="3.5"/>
    <n v="0"/>
  </r>
  <r>
    <x v="1"/>
    <x v="18"/>
    <x v="38"/>
    <n v="2"/>
    <n v="2"/>
    <n v="141.33000000000001"/>
    <n v="0.22458067396484852"/>
    <n v="3"/>
    <n v="0.5"/>
  </r>
  <r>
    <x v="1"/>
    <x v="19"/>
    <x v="38"/>
    <n v="2"/>
    <n v="2"/>
    <n v="246.76"/>
    <n v="0.1292614233555428"/>
    <n v="2"/>
    <n v="0"/>
  </r>
  <r>
    <x v="0"/>
    <x v="2"/>
    <x v="39"/>
    <n v="1"/>
    <n v="1"/>
    <n v="54.01"/>
    <n v="0.26124791705239769"/>
    <n v="5"/>
    <n v="0"/>
  </r>
  <r>
    <x v="0"/>
    <x v="3"/>
    <x v="39"/>
    <n v="4"/>
    <n v="4"/>
    <n v="244.47"/>
    <n v="0.2364426810126494"/>
    <n v="3.5"/>
    <n v="0"/>
  </r>
  <r>
    <x v="0"/>
    <x v="4"/>
    <x v="39"/>
    <n v="3"/>
    <n v="3"/>
    <n v="179.48"/>
    <n v="0.31015301325329392"/>
    <n v="5"/>
    <n v="0"/>
  </r>
  <r>
    <x v="0"/>
    <x v="5"/>
    <x v="39"/>
    <n v="6"/>
    <n v="6"/>
    <n v="607.49"/>
    <n v="0.20215905817962004"/>
    <n v="4.333333333333333"/>
    <n v="0"/>
  </r>
  <r>
    <x v="0"/>
    <x v="6"/>
    <x v="39"/>
    <n v="1"/>
    <n v="1"/>
    <n v="77.680000000000007"/>
    <n v="0.10015447991761071"/>
    <n v="4"/>
    <n v="0"/>
  </r>
  <r>
    <x v="0"/>
    <x v="7"/>
    <x v="39"/>
    <n v="2"/>
    <n v="2"/>
    <n v="389.44"/>
    <n v="0.27355867269796635"/>
    <n v="3"/>
    <n v="0"/>
  </r>
  <r>
    <x v="0"/>
    <x v="8"/>
    <x v="39"/>
    <n v="5"/>
    <n v="2"/>
    <n v="500.82"/>
    <n v="0.32437370105416752"/>
    <n v="4.2"/>
    <n v="0"/>
  </r>
  <r>
    <x v="0"/>
    <x v="9"/>
    <x v="39"/>
    <n v="1"/>
    <n v="1"/>
    <n v="68.62"/>
    <n v="0.127076654036724"/>
    <n v="5"/>
    <n v="1"/>
  </r>
  <r>
    <x v="0"/>
    <x v="10"/>
    <x v="39"/>
    <n v="1"/>
    <n v="1"/>
    <n v="67.680000000000007"/>
    <n v="0.11495271867612293"/>
    <n v="5"/>
    <n v="0"/>
  </r>
  <r>
    <x v="0"/>
    <x v="11"/>
    <x v="39"/>
    <n v="1"/>
    <n v="1"/>
    <n v="76.760000000000005"/>
    <n v="0.21964564877540385"/>
    <n v="5"/>
    <n v="0"/>
  </r>
  <r>
    <x v="1"/>
    <x v="12"/>
    <x v="39"/>
    <n v="2"/>
    <n v="2"/>
    <n v="145.34"/>
    <n v="0.17482585249545279"/>
    <n v="4"/>
    <n v="0"/>
  </r>
  <r>
    <x v="1"/>
    <x v="14"/>
    <x v="39"/>
    <n v="1"/>
    <n v="1"/>
    <n v="97.39"/>
    <n v="7.6907280008214396E-2"/>
    <n v="5"/>
    <n v="0"/>
  </r>
  <r>
    <x v="1"/>
    <x v="15"/>
    <x v="39"/>
    <n v="1"/>
    <n v="1"/>
    <n v="105.41"/>
    <n v="0.14713974006261266"/>
    <n v="5"/>
    <n v="0"/>
  </r>
  <r>
    <x v="1"/>
    <x v="19"/>
    <x v="39"/>
    <n v="1"/>
    <n v="1"/>
    <n v="83.05"/>
    <n v="0.15833835039133051"/>
    <n v="3"/>
    <n v="0"/>
  </r>
  <r>
    <x v="0"/>
    <x v="0"/>
    <x v="40"/>
    <n v="1"/>
    <n v="1"/>
    <n v="49.01"/>
    <n v="0.28790042848398284"/>
    <n v="5"/>
    <n v="0"/>
  </r>
  <r>
    <x v="0"/>
    <x v="1"/>
    <x v="40"/>
    <n v="3"/>
    <n v="2"/>
    <n v="157.37"/>
    <n v="0.31218236544089134"/>
    <n v="4.333333333333333"/>
    <n v="0"/>
  </r>
  <r>
    <x v="0"/>
    <x v="2"/>
    <x v="40"/>
    <n v="14"/>
    <n v="13"/>
    <n v="1746.18"/>
    <n v="0.19268354049379705"/>
    <n v="4.5714285714285712"/>
    <n v="0"/>
  </r>
  <r>
    <x v="0"/>
    <x v="3"/>
    <x v="40"/>
    <n v="23"/>
    <n v="20"/>
    <n v="1946.37"/>
    <n v="0.25265088053516194"/>
    <n v="4.6818181818181817"/>
    <n v="0"/>
  </r>
  <r>
    <x v="0"/>
    <x v="4"/>
    <x v="40"/>
    <n v="22"/>
    <n v="22"/>
    <n v="2014.89"/>
    <n v="0.25094780077957773"/>
    <n v="4.2727272727272725"/>
    <n v="0"/>
  </r>
  <r>
    <x v="0"/>
    <x v="5"/>
    <x v="40"/>
    <n v="20"/>
    <n v="17"/>
    <n v="1735.87"/>
    <n v="0.26987700635937256"/>
    <n v="3.3157894736842106"/>
    <n v="0"/>
  </r>
  <r>
    <x v="0"/>
    <x v="6"/>
    <x v="40"/>
    <n v="20"/>
    <n v="19"/>
    <n v="1760.7"/>
    <n v="0.2367692381596864"/>
    <n v="4.3"/>
    <n v="5.2631578947368418E-2"/>
  </r>
  <r>
    <x v="0"/>
    <x v="7"/>
    <x v="40"/>
    <n v="22"/>
    <n v="18"/>
    <n v="1856.37"/>
    <n v="0.2388483722268894"/>
    <n v="4.666666666666667"/>
    <n v="0"/>
  </r>
  <r>
    <x v="0"/>
    <x v="8"/>
    <x v="40"/>
    <n v="14"/>
    <n v="13"/>
    <n v="1443.7"/>
    <n v="0.20450543732640328"/>
    <n v="4.0769230769230766"/>
    <n v="7.6923076923076927E-2"/>
  </r>
  <r>
    <x v="0"/>
    <x v="9"/>
    <x v="40"/>
    <n v="18"/>
    <n v="16"/>
    <n v="2194.58"/>
    <n v="0.18208847251531335"/>
    <n v="4.2222222222222223"/>
    <n v="6.25E-2"/>
  </r>
  <r>
    <x v="0"/>
    <x v="10"/>
    <x v="40"/>
    <n v="20"/>
    <n v="18"/>
    <n v="2111.77"/>
    <n v="0.18159292124291093"/>
    <n v="4.2105263157894735"/>
    <n v="0.1111111111111111"/>
  </r>
  <r>
    <x v="0"/>
    <x v="11"/>
    <x v="40"/>
    <n v="14"/>
    <n v="12"/>
    <n v="1403.97"/>
    <n v="0.17743628479835818"/>
    <n v="4.2857142857142856"/>
    <n v="0"/>
  </r>
  <r>
    <x v="1"/>
    <x v="12"/>
    <x v="40"/>
    <n v="9"/>
    <n v="7"/>
    <n v="822.31"/>
    <n v="0.20102516105458282"/>
    <n v="4.2222222222222223"/>
    <n v="0.14285714285714285"/>
  </r>
  <r>
    <x v="1"/>
    <x v="13"/>
    <x v="40"/>
    <n v="11"/>
    <n v="10"/>
    <n v="1251.52"/>
    <n v="0.20217376558747627"/>
    <n v="3.9090909090909092"/>
    <n v="0.2"/>
  </r>
  <r>
    <x v="1"/>
    <x v="14"/>
    <x v="40"/>
    <n v="12"/>
    <n v="12"/>
    <n v="1525.22"/>
    <n v="0.20797668546281864"/>
    <n v="3.25"/>
    <n v="0.16666666666666666"/>
  </r>
  <r>
    <x v="1"/>
    <x v="15"/>
    <x v="40"/>
    <n v="11"/>
    <n v="11"/>
    <n v="1717.97"/>
    <n v="0.1596801342275099"/>
    <n v="4"/>
    <n v="9.0909090909090912E-2"/>
  </r>
  <r>
    <x v="1"/>
    <x v="16"/>
    <x v="40"/>
    <n v="10"/>
    <n v="10"/>
    <n v="1788.57"/>
    <n v="0.13162458780597941"/>
    <n v="4.5"/>
    <n v="0"/>
  </r>
  <r>
    <x v="1"/>
    <x v="17"/>
    <x v="40"/>
    <n v="10"/>
    <n v="10"/>
    <n v="1450.18"/>
    <n v="0.16597198015749434"/>
    <n v="4.5999999999999996"/>
    <n v="0"/>
  </r>
  <r>
    <x v="1"/>
    <x v="18"/>
    <x v="40"/>
    <n v="5"/>
    <n v="5"/>
    <n v="985.44"/>
    <n v="0.16699724343395694"/>
    <n v="4.8"/>
    <n v="0"/>
  </r>
  <r>
    <x v="1"/>
    <x v="19"/>
    <x v="40"/>
    <n v="3"/>
    <n v="3"/>
    <n v="577.21"/>
    <n v="0.21254689213625028"/>
    <n v="4.666666666666667"/>
    <n v="0"/>
  </r>
  <r>
    <x v="0"/>
    <x v="0"/>
    <x v="41"/>
    <n v="1"/>
    <n v="1"/>
    <n v="159.11000000000001"/>
    <n v="0.20243856451511533"/>
    <n v="5"/>
    <n v="0"/>
  </r>
  <r>
    <x v="0"/>
    <x v="1"/>
    <x v="41"/>
    <n v="7"/>
    <n v="7"/>
    <n v="763.02"/>
    <n v="0.18340955136535236"/>
    <n v="4.1428571428571432"/>
    <n v="0"/>
  </r>
  <r>
    <x v="0"/>
    <x v="2"/>
    <x v="41"/>
    <n v="9"/>
    <n v="7"/>
    <n v="721.36"/>
    <n v="0.26442298442378004"/>
    <n v="4"/>
    <n v="0"/>
  </r>
  <r>
    <x v="0"/>
    <x v="3"/>
    <x v="41"/>
    <n v="7"/>
    <n v="6"/>
    <n v="504.63"/>
    <n v="0.24028422605819527"/>
    <n v="3.4285714285714284"/>
    <n v="0.16666666666666666"/>
  </r>
  <r>
    <x v="0"/>
    <x v="4"/>
    <x v="41"/>
    <n v="4"/>
    <n v="3"/>
    <n v="676.21"/>
    <n v="0.10563537135878974"/>
    <n v="2.5"/>
    <n v="0"/>
  </r>
  <r>
    <x v="0"/>
    <x v="5"/>
    <x v="41"/>
    <n v="10"/>
    <n v="8"/>
    <n v="754.82"/>
    <n v="0.23616515718655176"/>
    <n v="3.7"/>
    <n v="0"/>
  </r>
  <r>
    <x v="0"/>
    <x v="6"/>
    <x v="41"/>
    <n v="9"/>
    <n v="8"/>
    <n v="860.33"/>
    <n v="0.19160184328717433"/>
    <n v="4.333333333333333"/>
    <n v="0"/>
  </r>
  <r>
    <x v="0"/>
    <x v="7"/>
    <x v="41"/>
    <n v="15"/>
    <n v="13"/>
    <n v="1444.32"/>
    <n v="0.19400591743252152"/>
    <n v="3.1333333333333333"/>
    <n v="7.6923076923076927E-2"/>
  </r>
  <r>
    <x v="0"/>
    <x v="8"/>
    <x v="41"/>
    <n v="16"/>
    <n v="10"/>
    <n v="1388.19"/>
    <n v="0.19000771131494107"/>
    <n v="1.9375"/>
    <n v="0.3"/>
  </r>
  <r>
    <x v="0"/>
    <x v="9"/>
    <x v="41"/>
    <n v="11"/>
    <n v="9"/>
    <n v="1201.3699999999999"/>
    <n v="0.13904185426948312"/>
    <n v="4.5454545454545459"/>
    <n v="0"/>
  </r>
  <r>
    <x v="0"/>
    <x v="10"/>
    <x v="41"/>
    <n v="12"/>
    <n v="11"/>
    <n v="1098.46"/>
    <n v="0.19818447307505874"/>
    <n v="3.5"/>
    <n v="9.0909090909090912E-2"/>
  </r>
  <r>
    <x v="0"/>
    <x v="11"/>
    <x v="41"/>
    <n v="4"/>
    <n v="4"/>
    <n v="532.14"/>
    <n v="0.19689536059848309"/>
    <n v="3.75"/>
    <n v="0"/>
  </r>
  <r>
    <x v="1"/>
    <x v="12"/>
    <x v="41"/>
    <n v="6"/>
    <n v="5"/>
    <n v="662.17"/>
    <n v="0.17896761813751405"/>
    <n v="4"/>
    <n v="0"/>
  </r>
  <r>
    <x v="1"/>
    <x v="13"/>
    <x v="41"/>
    <n v="3"/>
    <n v="3"/>
    <n v="446.86"/>
    <n v="0.15273027935144087"/>
    <n v="3"/>
    <n v="0"/>
  </r>
  <r>
    <x v="1"/>
    <x v="15"/>
    <x v="41"/>
    <n v="1"/>
    <n v="1"/>
    <n v="234.42"/>
    <n v="0.16815971333503968"/>
    <m/>
    <n v="1"/>
  </r>
  <r>
    <x v="1"/>
    <x v="16"/>
    <x v="41"/>
    <n v="1"/>
    <n v="1"/>
    <n v="149.87"/>
    <n v="0.13264829518916393"/>
    <n v="5"/>
    <n v="0"/>
  </r>
  <r>
    <x v="1"/>
    <x v="17"/>
    <x v="41"/>
    <n v="7"/>
    <n v="6"/>
    <n v="554.42999999999995"/>
    <n v="0.21226403803141214"/>
    <n v="4.8571428571428568"/>
    <n v="0"/>
  </r>
  <r>
    <x v="1"/>
    <x v="18"/>
    <x v="41"/>
    <n v="5"/>
    <n v="5"/>
    <n v="295.68"/>
    <n v="0.29735000090514774"/>
    <n v="5"/>
    <n v="0"/>
  </r>
  <r>
    <x v="1"/>
    <x v="19"/>
    <x v="41"/>
    <n v="3"/>
    <n v="3"/>
    <n v="466.98"/>
    <n v="0.17030547550071132"/>
    <n v="4.666666666666667"/>
    <n v="0"/>
  </r>
  <r>
    <x v="0"/>
    <x v="4"/>
    <x v="42"/>
    <n v="1"/>
    <n v="1"/>
    <n v="124.52"/>
    <n v="0.1166077738515901"/>
    <n v="5"/>
    <n v="0"/>
  </r>
  <r>
    <x v="0"/>
    <x v="5"/>
    <x v="42"/>
    <n v="1"/>
    <n v="1"/>
    <n v="118.96"/>
    <n v="7.5319435104236721E-2"/>
    <n v="5"/>
    <n v="0"/>
  </r>
  <r>
    <x v="0"/>
    <x v="7"/>
    <x v="42"/>
    <n v="1"/>
    <n v="1"/>
    <n v="66.69"/>
    <n v="0.25176188334083072"/>
    <n v="1"/>
    <n v="0"/>
  </r>
  <r>
    <x v="0"/>
    <x v="8"/>
    <x v="42"/>
    <n v="1"/>
    <n v="1"/>
    <n v="107.06"/>
    <n v="0.15944330282084812"/>
    <n v="5"/>
    <n v="0"/>
  </r>
  <r>
    <x v="0"/>
    <x v="9"/>
    <x v="42"/>
    <n v="1"/>
    <n v="1"/>
    <n v="54.09"/>
    <n v="0.26067665002773155"/>
    <n v="5"/>
    <n v="0"/>
  </r>
  <r>
    <x v="1"/>
    <x v="14"/>
    <x v="42"/>
    <n v="2"/>
    <n v="2"/>
    <n v="96.56"/>
    <n v="0.17047553365011403"/>
    <n v="5"/>
    <n v="0"/>
  </r>
  <r>
    <x v="1"/>
    <x v="17"/>
    <x v="42"/>
    <n v="1"/>
    <n v="1"/>
    <n v="97.48"/>
    <n v="7.6836274107509234E-2"/>
    <n v="5"/>
    <n v="0"/>
  </r>
  <r>
    <x v="0"/>
    <x v="0"/>
    <x v="43"/>
    <n v="35"/>
    <n v="30"/>
    <n v="2136.61"/>
    <n v="0.29999459024694952"/>
    <n v="4.3636363636363633"/>
    <n v="3.3333333333333333E-2"/>
  </r>
  <r>
    <x v="0"/>
    <x v="1"/>
    <x v="43"/>
    <n v="40"/>
    <n v="35"/>
    <n v="2996.11"/>
    <n v="0.23700901849079525"/>
    <n v="4.1538461538461542"/>
    <n v="0"/>
  </r>
  <r>
    <x v="0"/>
    <x v="2"/>
    <x v="43"/>
    <n v="68"/>
    <n v="62"/>
    <n v="5893.33"/>
    <n v="0.2302667799613822"/>
    <n v="4.3283582089552235"/>
    <n v="3.2258064516129031E-2"/>
  </r>
  <r>
    <x v="0"/>
    <x v="3"/>
    <x v="43"/>
    <n v="50"/>
    <n v="46"/>
    <n v="3996.73"/>
    <n v="0.24205873254530802"/>
    <n v="4.12"/>
    <n v="4.3478260869565216E-2"/>
  </r>
  <r>
    <x v="0"/>
    <x v="4"/>
    <x v="43"/>
    <n v="111"/>
    <n v="97"/>
    <n v="9224.98"/>
    <n v="0.24889964930249805"/>
    <n v="4.0925925925925926"/>
    <n v="3.0927835051546393E-2"/>
  </r>
  <r>
    <x v="0"/>
    <x v="5"/>
    <x v="43"/>
    <n v="83"/>
    <n v="77"/>
    <n v="8134.62"/>
    <n v="0.21463144972261292"/>
    <n v="4.1111111111111107"/>
    <n v="0"/>
  </r>
  <r>
    <x v="0"/>
    <x v="6"/>
    <x v="43"/>
    <n v="88"/>
    <n v="82"/>
    <n v="6467.55"/>
    <n v="0.23598880464713654"/>
    <n v="4.2272727272727275"/>
    <n v="6.097560975609756E-2"/>
  </r>
  <r>
    <x v="0"/>
    <x v="7"/>
    <x v="43"/>
    <n v="99"/>
    <n v="89"/>
    <n v="8041.89"/>
    <n v="0.22931719000976031"/>
    <n v="4.2525252525252526"/>
    <n v="1.1235955056179775E-2"/>
  </r>
  <r>
    <x v="0"/>
    <x v="8"/>
    <x v="43"/>
    <n v="125"/>
    <n v="103"/>
    <n v="14008.92"/>
    <n v="0.21957826250351081"/>
    <n v="4.1520000000000001"/>
    <n v="2.9126213592233011E-2"/>
  </r>
  <r>
    <x v="0"/>
    <x v="9"/>
    <x v="43"/>
    <n v="110"/>
    <n v="95"/>
    <n v="9547.58"/>
    <n v="0.21783907800614652"/>
    <n v="4.0183486238532113"/>
    <n v="1.0526315789473684E-2"/>
  </r>
  <r>
    <x v="0"/>
    <x v="10"/>
    <x v="43"/>
    <n v="201"/>
    <n v="185"/>
    <n v="16221.49"/>
    <n v="0.23503291200451412"/>
    <n v="3.5778894472361809"/>
    <n v="0.12972972972972974"/>
  </r>
  <r>
    <x v="0"/>
    <x v="11"/>
    <x v="43"/>
    <n v="136"/>
    <n v="124"/>
    <n v="12130.97"/>
    <n v="0.22226654808169641"/>
    <n v="4.0666666666666664"/>
    <n v="4.0322580645161289E-2"/>
  </r>
  <r>
    <x v="1"/>
    <x v="12"/>
    <x v="43"/>
    <n v="125"/>
    <n v="116"/>
    <n v="9849.0499999999993"/>
    <n v="0.25033758073491175"/>
    <n v="4.442622950819672"/>
    <n v="7.7586206896551727E-2"/>
  </r>
  <r>
    <x v="1"/>
    <x v="13"/>
    <x v="43"/>
    <n v="107"/>
    <n v="102"/>
    <n v="11496.55"/>
    <n v="0.22433589868939716"/>
    <n v="4.1028037383177569"/>
    <n v="5.8823529411764705E-2"/>
  </r>
  <r>
    <x v="1"/>
    <x v="14"/>
    <x v="43"/>
    <n v="140"/>
    <n v="131"/>
    <n v="12794.24"/>
    <n v="0.26371767893824438"/>
    <n v="3.8686131386861313"/>
    <n v="0.23664122137404581"/>
  </r>
  <r>
    <x v="1"/>
    <x v="15"/>
    <x v="43"/>
    <n v="107"/>
    <n v="96"/>
    <n v="10945.34"/>
    <n v="0.22382093130012101"/>
    <n v="4.2745098039215685"/>
    <n v="2.0833333333333332E-2"/>
  </r>
  <r>
    <x v="1"/>
    <x v="16"/>
    <x v="43"/>
    <n v="111"/>
    <n v="105"/>
    <n v="13192.27"/>
    <n v="0.20077520807349719"/>
    <n v="4.5377358490566042"/>
    <n v="6.6666666666666666E-2"/>
  </r>
  <r>
    <x v="1"/>
    <x v="17"/>
    <x v="43"/>
    <n v="87"/>
    <n v="82"/>
    <n v="9388.36"/>
    <n v="0.20912701797127695"/>
    <n v="4.4767441860465116"/>
    <n v="0"/>
  </r>
  <r>
    <x v="1"/>
    <x v="18"/>
    <x v="43"/>
    <n v="77"/>
    <n v="76"/>
    <n v="7418.12"/>
    <n v="0.22170338878617168"/>
    <n v="4.5584415584415581"/>
    <n v="0"/>
  </r>
  <r>
    <x v="1"/>
    <x v="19"/>
    <x v="43"/>
    <n v="127"/>
    <n v="122"/>
    <n v="10035.75"/>
    <n v="0.21451713327064964"/>
    <n v="4.2160000000000002"/>
    <n v="3.2786885245901641E-2"/>
  </r>
  <r>
    <x v="0"/>
    <x v="0"/>
    <x v="44"/>
    <n v="2"/>
    <n v="2"/>
    <n v="102.81"/>
    <n v="0.26902020500230484"/>
    <n v="4"/>
    <n v="0"/>
  </r>
  <r>
    <x v="0"/>
    <x v="1"/>
    <x v="44"/>
    <n v="4"/>
    <n v="4"/>
    <n v="519.77"/>
    <n v="0.11833902958357813"/>
    <n v="3"/>
    <n v="0"/>
  </r>
  <r>
    <x v="0"/>
    <x v="2"/>
    <x v="44"/>
    <n v="1"/>
    <n v="1"/>
    <n v="30.86"/>
    <n v="0.35515230071289694"/>
    <n v="3"/>
    <n v="0"/>
  </r>
  <r>
    <x v="0"/>
    <x v="3"/>
    <x v="44"/>
    <n v="1"/>
    <n v="1"/>
    <n v="87.74"/>
    <n v="0.26031456576248008"/>
    <n v="2"/>
    <n v="0"/>
  </r>
  <r>
    <x v="0"/>
    <x v="4"/>
    <x v="44"/>
    <n v="5"/>
    <n v="5"/>
    <n v="485.63"/>
    <n v="0.15992142683963875"/>
    <n v="3.4"/>
    <n v="0"/>
  </r>
  <r>
    <x v="0"/>
    <x v="5"/>
    <x v="44"/>
    <n v="3"/>
    <n v="3"/>
    <n v="199.3"/>
    <n v="0.24694248086049481"/>
    <n v="3.6666666666666665"/>
    <n v="0"/>
  </r>
  <r>
    <x v="0"/>
    <x v="6"/>
    <x v="44"/>
    <n v="5"/>
    <n v="4"/>
    <n v="443.1"/>
    <n v="0.1558455805985216"/>
    <n v="4.2"/>
    <n v="0"/>
  </r>
  <r>
    <x v="0"/>
    <x v="7"/>
    <x v="44"/>
    <n v="4"/>
    <n v="4"/>
    <n v="235.65"/>
    <n v="0.22795321065956839"/>
    <n v="4.25"/>
    <n v="0"/>
  </r>
  <r>
    <x v="0"/>
    <x v="8"/>
    <x v="44"/>
    <n v="4"/>
    <n v="3"/>
    <n v="430.31"/>
    <n v="0.21982957681586121"/>
    <n v="4.25"/>
    <n v="1"/>
  </r>
  <r>
    <x v="0"/>
    <x v="10"/>
    <x v="44"/>
    <n v="3"/>
    <n v="3"/>
    <n v="115.92"/>
    <n v="0.31357130857866089"/>
    <n v="2"/>
    <n v="0"/>
  </r>
  <r>
    <x v="1"/>
    <x v="12"/>
    <x v="44"/>
    <n v="3"/>
    <n v="3"/>
    <n v="196.48"/>
    <n v="0.18596189703285693"/>
    <n v="5"/>
    <n v="0"/>
  </r>
  <r>
    <x v="1"/>
    <x v="13"/>
    <x v="44"/>
    <n v="1"/>
    <n v="1"/>
    <n v="45.09"/>
    <n v="0.3348857839875804"/>
    <n v="4"/>
    <n v="0"/>
  </r>
  <r>
    <x v="1"/>
    <x v="14"/>
    <x v="44"/>
    <n v="4"/>
    <n v="1"/>
    <n v="154.52000000000001"/>
    <n v="0.223660367589956"/>
    <n v="4"/>
    <n v="0"/>
  </r>
  <r>
    <x v="1"/>
    <x v="15"/>
    <x v="44"/>
    <n v="5"/>
    <n v="1"/>
    <n v="218.15"/>
    <n v="0.19802887921155168"/>
    <n v="4"/>
    <n v="0"/>
  </r>
  <r>
    <x v="1"/>
    <x v="19"/>
    <x v="44"/>
    <n v="3"/>
    <n v="2"/>
    <n v="169.13"/>
    <n v="0.2306314965970005"/>
    <n v="3.6666666666666665"/>
    <n v="0"/>
  </r>
  <r>
    <x v="0"/>
    <x v="0"/>
    <x v="45"/>
    <n v="11"/>
    <n v="11"/>
    <n v="772.43"/>
    <n v="0.28153365510397577"/>
    <n v="3.8181818181818183"/>
    <n v="9.0909090909090912E-2"/>
  </r>
  <r>
    <x v="0"/>
    <x v="1"/>
    <x v="45"/>
    <n v="19"/>
    <n v="14"/>
    <n v="1555.5"/>
    <n v="0.33069735444226628"/>
    <n v="4.2105263157894735"/>
    <n v="0"/>
  </r>
  <r>
    <x v="0"/>
    <x v="2"/>
    <x v="45"/>
    <n v="37"/>
    <n v="32"/>
    <n v="4655.16"/>
    <n v="0.23855171054942403"/>
    <n v="4.3513513513513518"/>
    <n v="6.25E-2"/>
  </r>
  <r>
    <x v="0"/>
    <x v="3"/>
    <x v="45"/>
    <n v="48"/>
    <n v="47"/>
    <n v="5611.49"/>
    <n v="0.25999492374319561"/>
    <n v="4.166666666666667"/>
    <n v="0.10638297872340426"/>
  </r>
  <r>
    <x v="0"/>
    <x v="4"/>
    <x v="45"/>
    <n v="68"/>
    <n v="62"/>
    <n v="7958.75"/>
    <n v="0.28183399432780831"/>
    <n v="3.7910447761194028"/>
    <n v="4.8387096774193547E-2"/>
  </r>
  <r>
    <x v="0"/>
    <x v="5"/>
    <x v="45"/>
    <n v="42"/>
    <n v="40"/>
    <n v="2725.04"/>
    <n v="0.32223152956062345"/>
    <n v="4.1463414634146343"/>
    <n v="2.5000000000000001E-2"/>
  </r>
  <r>
    <x v="0"/>
    <x v="6"/>
    <x v="45"/>
    <n v="97"/>
    <n v="87"/>
    <n v="9103.81"/>
    <n v="0.32041268276544771"/>
    <n v="4.2659574468085104"/>
    <n v="0"/>
  </r>
  <r>
    <x v="0"/>
    <x v="7"/>
    <x v="45"/>
    <n v="56"/>
    <n v="52"/>
    <n v="3765.86"/>
    <n v="0.36069060901012184"/>
    <n v="3.9056603773584908"/>
    <n v="1.9230769230769232E-2"/>
  </r>
  <r>
    <x v="0"/>
    <x v="8"/>
    <x v="45"/>
    <n v="67"/>
    <n v="65"/>
    <n v="5557.35"/>
    <n v="0.3164750121242102"/>
    <n v="4.166666666666667"/>
    <n v="4.6153846153846156E-2"/>
  </r>
  <r>
    <x v="0"/>
    <x v="9"/>
    <x v="45"/>
    <n v="63"/>
    <n v="56"/>
    <n v="4563.16"/>
    <n v="0.31073274392708333"/>
    <n v="3.9365079365079363"/>
    <n v="7.1428571428571425E-2"/>
  </r>
  <r>
    <x v="0"/>
    <x v="10"/>
    <x v="45"/>
    <n v="184"/>
    <n v="165"/>
    <n v="12947.72"/>
    <n v="0.34597431182593702"/>
    <n v="3.9673913043478262"/>
    <n v="0.14545454545454545"/>
  </r>
  <r>
    <x v="0"/>
    <x v="11"/>
    <x v="45"/>
    <n v="210"/>
    <n v="190"/>
    <n v="11995.77"/>
    <n v="0.39830808467119089"/>
    <n v="4.0047619047619047"/>
    <n v="6.8421052631578952E-2"/>
  </r>
  <r>
    <x v="1"/>
    <x v="12"/>
    <x v="45"/>
    <n v="351"/>
    <n v="322"/>
    <n v="21654.55"/>
    <n v="0.3791149694385143"/>
    <n v="3.9339080459770117"/>
    <n v="5.5900621118012424E-2"/>
  </r>
  <r>
    <x v="1"/>
    <x v="13"/>
    <x v="45"/>
    <n v="332"/>
    <n v="301"/>
    <n v="20095.740000000002"/>
    <n v="0.38763986116721039"/>
    <n v="3.8571428571428572"/>
    <n v="0.18604651162790697"/>
  </r>
  <r>
    <x v="1"/>
    <x v="14"/>
    <x v="45"/>
    <n v="261"/>
    <n v="244"/>
    <n v="16951.12"/>
    <n v="0.39855058349955863"/>
    <n v="3.7586206896551726"/>
    <n v="0.20081967213114754"/>
  </r>
  <r>
    <x v="1"/>
    <x v="15"/>
    <x v="45"/>
    <n v="214"/>
    <n v="203"/>
    <n v="14750.55"/>
    <n v="0.40226124450153361"/>
    <n v="4.075117370892019"/>
    <n v="4.9261083743842367E-2"/>
  </r>
  <r>
    <x v="1"/>
    <x v="16"/>
    <x v="45"/>
    <n v="235"/>
    <n v="223"/>
    <n v="21087.72"/>
    <n v="0.3508597524421212"/>
    <n v="4.3103448275862073"/>
    <n v="3.5874439461883408E-2"/>
  </r>
  <r>
    <x v="1"/>
    <x v="17"/>
    <x v="45"/>
    <n v="191"/>
    <n v="174"/>
    <n v="12946.08"/>
    <n v="0.3648444766427521"/>
    <n v="4.4240837696335076"/>
    <n v="1.1494252873563218E-2"/>
  </r>
  <r>
    <x v="1"/>
    <x v="18"/>
    <x v="45"/>
    <n v="159"/>
    <n v="145"/>
    <n v="13812.32"/>
    <n v="0.31079417462517217"/>
    <n v="4.1146496815286628"/>
    <n v="6.8965517241379309E-3"/>
  </r>
  <r>
    <x v="1"/>
    <x v="19"/>
    <x v="45"/>
    <n v="120"/>
    <n v="115"/>
    <n v="12967.37"/>
    <n v="0.28738550925690298"/>
    <n v="4.151260504201681"/>
    <n v="5.2173913043478258E-2"/>
  </r>
  <r>
    <x v="0"/>
    <x v="0"/>
    <x v="46"/>
    <n v="2"/>
    <n v="1"/>
    <n v="47.8"/>
    <n v="0.37656903765690375"/>
    <n v="5"/>
    <n v="0"/>
  </r>
  <r>
    <x v="0"/>
    <x v="1"/>
    <x v="46"/>
    <n v="1"/>
    <n v="1"/>
    <n v="35.700000000000003"/>
    <n v="0.58263305322128855"/>
    <n v="4"/>
    <n v="0"/>
  </r>
  <r>
    <x v="0"/>
    <x v="2"/>
    <x v="46"/>
    <n v="5"/>
    <n v="4"/>
    <n v="1963.43"/>
    <n v="0.33747591773995977"/>
    <n v="3.2"/>
    <n v="0"/>
  </r>
  <r>
    <x v="0"/>
    <x v="3"/>
    <x v="46"/>
    <n v="2"/>
    <n v="2"/>
    <n v="1466.34"/>
    <n v="0.26322871889081734"/>
    <n v="5"/>
    <n v="0"/>
  </r>
  <r>
    <x v="0"/>
    <x v="4"/>
    <x v="46"/>
    <n v="4"/>
    <n v="4"/>
    <n v="150.6"/>
    <n v="0.39999453300053966"/>
    <n v="4.75"/>
    <n v="0"/>
  </r>
  <r>
    <x v="0"/>
    <x v="5"/>
    <x v="46"/>
    <n v="4"/>
    <n v="4"/>
    <n v="199.74"/>
    <n v="0.41155930496660903"/>
    <n v="4.75"/>
    <n v="0"/>
  </r>
  <r>
    <x v="0"/>
    <x v="6"/>
    <x v="46"/>
    <n v="4"/>
    <n v="4"/>
    <n v="830.99"/>
    <n v="0.41252984079766231"/>
    <n v="3.3333333333333335"/>
    <n v="0"/>
  </r>
  <r>
    <x v="0"/>
    <x v="7"/>
    <x v="46"/>
    <n v="6"/>
    <n v="6"/>
    <n v="231.83"/>
    <n v="0.50357799767245104"/>
    <n v="2.8333333333333335"/>
    <n v="0.33333333333333331"/>
  </r>
  <r>
    <x v="0"/>
    <x v="8"/>
    <x v="46"/>
    <n v="2"/>
    <n v="2"/>
    <n v="91.06"/>
    <n v="0.56292554359762792"/>
    <n v="4.5"/>
    <n v="0"/>
  </r>
  <r>
    <x v="0"/>
    <x v="9"/>
    <x v="46"/>
    <n v="5"/>
    <n v="5"/>
    <n v="314.63"/>
    <n v="0.44929604541469165"/>
    <n v="4.2"/>
    <n v="0"/>
  </r>
  <r>
    <x v="0"/>
    <x v="10"/>
    <x v="46"/>
    <n v="3"/>
    <n v="3"/>
    <n v="145.66999999999999"/>
    <n v="0.45408552133940555"/>
    <n v="3.6666666666666665"/>
    <n v="0.33333333333333331"/>
  </r>
  <r>
    <x v="0"/>
    <x v="11"/>
    <x v="46"/>
    <n v="1"/>
    <n v="1"/>
    <n v="135.49"/>
    <n v="0.11506384234998893"/>
    <n v="4"/>
    <n v="0"/>
  </r>
  <r>
    <x v="1"/>
    <x v="12"/>
    <x v="46"/>
    <n v="2"/>
    <n v="2"/>
    <n v="96.58"/>
    <n v="0.48325340962346358"/>
    <n v="5"/>
    <n v="0"/>
  </r>
  <r>
    <x v="1"/>
    <x v="13"/>
    <x v="46"/>
    <n v="1"/>
    <n v="1"/>
    <n v="42.53"/>
    <n v="0.4145309193510463"/>
    <n v="5"/>
    <n v="0"/>
  </r>
  <r>
    <x v="1"/>
    <x v="14"/>
    <x v="46"/>
    <n v="2"/>
    <n v="2"/>
    <n v="89.71"/>
    <n v="0.44255586222730198"/>
    <n v="5"/>
    <n v="0"/>
  </r>
  <r>
    <x v="1"/>
    <x v="15"/>
    <x v="46"/>
    <n v="5"/>
    <n v="4"/>
    <n v="267.67"/>
    <n v="0.61851672367795996"/>
    <n v="4.4000000000000004"/>
    <n v="0"/>
  </r>
  <r>
    <x v="1"/>
    <x v="16"/>
    <x v="46"/>
    <n v="7"/>
    <n v="6"/>
    <n v="560.16"/>
    <n v="0.2405254684730507"/>
    <n v="3.5714285714285716"/>
    <n v="0"/>
  </r>
  <r>
    <x v="1"/>
    <x v="17"/>
    <x v="46"/>
    <n v="6"/>
    <n v="5"/>
    <n v="505.03"/>
    <n v="0.31534101964182221"/>
    <n v="4.666666666666667"/>
    <n v="0"/>
  </r>
  <r>
    <x v="1"/>
    <x v="18"/>
    <x v="46"/>
    <n v="1"/>
    <n v="1"/>
    <n v="96.88"/>
    <n v="0.13305119735755574"/>
    <n v="2"/>
    <n v="1"/>
  </r>
  <r>
    <x v="1"/>
    <x v="19"/>
    <x v="46"/>
    <n v="1"/>
    <n v="1"/>
    <n v="16.29"/>
    <n v="0.45365254757519952"/>
    <n v="5"/>
    <n v="0"/>
  </r>
  <r>
    <x v="0"/>
    <x v="2"/>
    <x v="47"/>
    <n v="5"/>
    <n v="4"/>
    <n v="568.42999999999995"/>
    <n v="0.28972406364598607"/>
    <n v="3.6"/>
    <n v="0"/>
  </r>
  <r>
    <x v="0"/>
    <x v="3"/>
    <x v="47"/>
    <n v="7"/>
    <n v="2"/>
    <n v="329.17"/>
    <n v="0.49677161496823985"/>
    <n v="1"/>
    <n v="0"/>
  </r>
  <r>
    <x v="0"/>
    <x v="4"/>
    <x v="47"/>
    <n v="1"/>
    <n v="1"/>
    <n v="112.95"/>
    <n v="0.20318725099601595"/>
    <n v="5"/>
    <n v="0"/>
  </r>
  <r>
    <x v="0"/>
    <x v="5"/>
    <x v="47"/>
    <n v="1"/>
    <n v="1"/>
    <n v="69.2"/>
    <n v="0.27760115606936414"/>
    <n v="4"/>
    <n v="0"/>
  </r>
  <r>
    <x v="0"/>
    <x v="6"/>
    <x v="47"/>
    <n v="3"/>
    <n v="2"/>
    <n v="348.08"/>
    <n v="0.22787879534773944"/>
    <n v="4"/>
    <n v="0"/>
  </r>
  <r>
    <x v="0"/>
    <x v="7"/>
    <x v="47"/>
    <n v="2"/>
    <n v="2"/>
    <n v="148.77000000000001"/>
    <n v="0.33821715836062427"/>
    <n v="5"/>
    <n v="0"/>
  </r>
  <r>
    <x v="0"/>
    <x v="8"/>
    <x v="47"/>
    <n v="8"/>
    <n v="7"/>
    <n v="428.48"/>
    <n v="0.29943095488047455"/>
    <n v="4.125"/>
    <n v="0"/>
  </r>
  <r>
    <x v="0"/>
    <x v="9"/>
    <x v="47"/>
    <n v="12"/>
    <n v="10"/>
    <n v="752.72"/>
    <n v="0.23069302445252698"/>
    <n v="4.1818181818181817"/>
    <n v="0.1"/>
  </r>
  <r>
    <x v="0"/>
    <x v="10"/>
    <x v="47"/>
    <n v="23"/>
    <n v="15"/>
    <n v="1127.8"/>
    <n v="0.3072595610789699"/>
    <n v="4.1304347826086953"/>
    <n v="0.2"/>
  </r>
  <r>
    <x v="0"/>
    <x v="11"/>
    <x v="47"/>
    <n v="34"/>
    <n v="31"/>
    <n v="2574.41"/>
    <n v="0.22964253288253672"/>
    <n v="4.117647058823529"/>
    <n v="3.2258064516129031E-2"/>
  </r>
  <r>
    <x v="1"/>
    <x v="12"/>
    <x v="47"/>
    <n v="52"/>
    <n v="40"/>
    <n v="3063.59"/>
    <n v="0.27648215838925588"/>
    <n v="3.9807692307692308"/>
    <n v="2.5000000000000001E-2"/>
  </r>
  <r>
    <x v="1"/>
    <x v="13"/>
    <x v="47"/>
    <n v="32"/>
    <n v="27"/>
    <n v="2419.2800000000002"/>
    <n v="0.24415572727435836"/>
    <n v="4.15625"/>
    <n v="0.1111111111111111"/>
  </r>
  <r>
    <x v="1"/>
    <x v="14"/>
    <x v="47"/>
    <n v="21"/>
    <n v="20"/>
    <n v="1268.52"/>
    <n v="0.26095665939872031"/>
    <n v="3.9523809523809526"/>
    <n v="0.25"/>
  </r>
  <r>
    <x v="1"/>
    <x v="15"/>
    <x v="47"/>
    <n v="54"/>
    <n v="29"/>
    <n v="5914.22"/>
    <n v="0.2649619031906339"/>
    <n v="4.0740740740740744"/>
    <n v="0"/>
  </r>
  <r>
    <x v="1"/>
    <x v="16"/>
    <x v="47"/>
    <n v="48"/>
    <n v="34"/>
    <n v="3563.83"/>
    <n v="0.29287722704525471"/>
    <n v="4.020833333333333"/>
    <n v="0"/>
  </r>
  <r>
    <x v="1"/>
    <x v="17"/>
    <x v="47"/>
    <n v="33"/>
    <n v="30"/>
    <n v="2053.4"/>
    <n v="0.28244020449836366"/>
    <n v="4"/>
    <n v="3.3333333333333333E-2"/>
  </r>
  <r>
    <x v="1"/>
    <x v="18"/>
    <x v="47"/>
    <n v="17"/>
    <n v="17"/>
    <n v="1633.2"/>
    <n v="0.21189376541729699"/>
    <n v="4.8235294117647056"/>
    <n v="0"/>
  </r>
  <r>
    <x v="1"/>
    <x v="19"/>
    <x v="47"/>
    <n v="30"/>
    <n v="25"/>
    <n v="1918.02"/>
    <n v="0.25845434341031492"/>
    <n v="3.5666666666666669"/>
    <n v="0.04"/>
  </r>
  <r>
    <x v="0"/>
    <x v="11"/>
    <x v="48"/>
    <n v="2"/>
    <n v="1"/>
    <n v="99.7"/>
    <n v="0.23771313941825475"/>
    <n v="1"/>
    <n v="0"/>
  </r>
  <r>
    <x v="1"/>
    <x v="12"/>
    <x v="48"/>
    <n v="5"/>
    <n v="1"/>
    <n v="188.45"/>
    <n v="0.33669408331122314"/>
    <n v="1"/>
    <n v="0"/>
  </r>
  <r>
    <x v="1"/>
    <x v="13"/>
    <x v="48"/>
    <n v="4"/>
    <n v="1"/>
    <n v="150.76"/>
    <n v="0.33669408331122314"/>
    <n v="3"/>
    <n v="0"/>
  </r>
  <r>
    <x v="1"/>
    <x v="14"/>
    <x v="48"/>
    <n v="6"/>
    <n v="2"/>
    <n v="248.61"/>
    <n v="0.34678400826459593"/>
    <n v="2.6666666666666665"/>
    <n v="0"/>
  </r>
  <r>
    <x v="1"/>
    <x v="15"/>
    <x v="48"/>
    <n v="4"/>
    <n v="4"/>
    <n v="200.57"/>
    <n v="0.25240558067515495"/>
    <n v="4.25"/>
    <n v="0"/>
  </r>
  <r>
    <x v="1"/>
    <x v="16"/>
    <x v="48"/>
    <n v="3"/>
    <n v="3"/>
    <n v="159.65"/>
    <n v="0.26742359361455675"/>
    <n v="4.666666666666667"/>
    <n v="0"/>
  </r>
  <r>
    <x v="1"/>
    <x v="17"/>
    <x v="48"/>
    <n v="7"/>
    <n v="7"/>
    <n v="427.7"/>
    <n v="0.24830608733573059"/>
    <n v="4.1428571428571432"/>
    <n v="0"/>
  </r>
  <r>
    <x v="1"/>
    <x v="18"/>
    <x v="48"/>
    <n v="4"/>
    <n v="4"/>
    <n v="237.91"/>
    <n v="0.32966018835451455"/>
    <n v="3.25"/>
    <n v="0"/>
  </r>
  <r>
    <x v="1"/>
    <x v="19"/>
    <x v="48"/>
    <n v="3"/>
    <n v="3"/>
    <n v="276.93"/>
    <n v="0.18672394963397487"/>
    <n v="4.666666666666667"/>
    <n v="0"/>
  </r>
  <r>
    <x v="0"/>
    <x v="3"/>
    <x v="49"/>
    <n v="1"/>
    <n v="1"/>
    <n v="748.27"/>
    <n v="2.5752736311759124E-2"/>
    <n v="5"/>
    <n v="0"/>
  </r>
  <r>
    <x v="0"/>
    <x v="4"/>
    <x v="49"/>
    <n v="2"/>
    <n v="2"/>
    <n v="834.3"/>
    <n v="7.7563105340582569E-2"/>
    <n v="5"/>
    <n v="0"/>
  </r>
  <r>
    <x v="0"/>
    <x v="8"/>
    <x v="49"/>
    <n v="3"/>
    <n v="3"/>
    <n v="976.08"/>
    <n v="0.19380602595745447"/>
    <n v="4.666666666666667"/>
    <n v="0"/>
  </r>
  <r>
    <x v="0"/>
    <x v="9"/>
    <x v="49"/>
    <n v="5"/>
    <n v="5"/>
    <n v="1119.96"/>
    <n v="0.2357907759137339"/>
    <n v="4.5999999999999996"/>
    <n v="0"/>
  </r>
  <r>
    <x v="0"/>
    <x v="10"/>
    <x v="49"/>
    <n v="5"/>
    <n v="4"/>
    <n v="349.54"/>
    <n v="0.29366038255880628"/>
    <n v="4.2"/>
    <n v="0.25"/>
  </r>
  <r>
    <x v="0"/>
    <x v="11"/>
    <x v="49"/>
    <n v="6"/>
    <n v="6"/>
    <n v="457.82"/>
    <n v="0.31730450275211686"/>
    <n v="4"/>
    <n v="0"/>
  </r>
  <r>
    <x v="1"/>
    <x v="12"/>
    <x v="49"/>
    <n v="8"/>
    <n v="8"/>
    <n v="695.13"/>
    <n v="0.31791527538331688"/>
    <n v="3.8571428571428572"/>
    <n v="0.125"/>
  </r>
  <r>
    <x v="1"/>
    <x v="13"/>
    <x v="49"/>
    <n v="12"/>
    <n v="11"/>
    <n v="1539.82"/>
    <n v="0.25064504206228516"/>
    <n v="4.4000000000000004"/>
    <n v="9.0909090909090912E-2"/>
  </r>
  <r>
    <x v="1"/>
    <x v="14"/>
    <x v="49"/>
    <n v="9"/>
    <n v="8"/>
    <n v="1154.77"/>
    <n v="0.25820203961378474"/>
    <n v="4.2222222222222223"/>
    <n v="0"/>
  </r>
  <r>
    <x v="1"/>
    <x v="15"/>
    <x v="49"/>
    <n v="17"/>
    <n v="16"/>
    <n v="1651.92"/>
    <n v="0.26042776656236799"/>
    <n v="4.3529411764705879"/>
    <n v="6.25E-2"/>
  </r>
  <r>
    <x v="1"/>
    <x v="16"/>
    <x v="49"/>
    <n v="5"/>
    <n v="5"/>
    <n v="506.26"/>
    <n v="0.18485496061161621"/>
    <n v="4.8"/>
    <n v="0"/>
  </r>
  <r>
    <x v="1"/>
    <x v="17"/>
    <x v="49"/>
    <n v="4"/>
    <n v="4"/>
    <n v="623.80999999999995"/>
    <n v="0.15043191188792493"/>
    <n v="5"/>
    <n v="0"/>
  </r>
  <r>
    <x v="1"/>
    <x v="18"/>
    <x v="49"/>
    <n v="12"/>
    <n v="10"/>
    <n v="5779.45"/>
    <n v="0.13116930478223099"/>
    <n v="4.833333333333333"/>
    <n v="0.1"/>
  </r>
  <r>
    <x v="1"/>
    <x v="19"/>
    <x v="49"/>
    <n v="14"/>
    <n v="14"/>
    <n v="1497.04"/>
    <n v="0.24211272447205678"/>
    <n v="4.4615384615384617"/>
    <n v="7.1428571428571425E-2"/>
  </r>
  <r>
    <x v="0"/>
    <x v="1"/>
    <x v="50"/>
    <n v="2"/>
    <n v="1"/>
    <n v="624.67999999999995"/>
    <n v="7.1556636998143047E-2"/>
    <n v="5"/>
    <n v="0"/>
  </r>
  <r>
    <x v="0"/>
    <x v="3"/>
    <x v="50"/>
    <n v="8"/>
    <n v="7"/>
    <n v="1680.57"/>
    <n v="0.24704714427030511"/>
    <n v="4.375"/>
    <n v="0"/>
  </r>
  <r>
    <x v="0"/>
    <x v="4"/>
    <x v="50"/>
    <n v="8"/>
    <n v="6"/>
    <n v="1806.55"/>
    <n v="0.24492999485330991"/>
    <n v="3"/>
    <n v="0.66666666666666663"/>
  </r>
  <r>
    <x v="0"/>
    <x v="5"/>
    <x v="50"/>
    <n v="4"/>
    <n v="3"/>
    <n v="500.4"/>
    <n v="0.15656500117913108"/>
    <n v="4.75"/>
    <n v="0"/>
  </r>
  <r>
    <x v="0"/>
    <x v="6"/>
    <x v="50"/>
    <n v="8"/>
    <n v="7"/>
    <n v="473.37"/>
    <n v="0.32198749867821386"/>
    <n v="4.5"/>
    <n v="0"/>
  </r>
  <r>
    <x v="0"/>
    <x v="7"/>
    <x v="50"/>
    <n v="10"/>
    <n v="7"/>
    <n v="1483"/>
    <n v="0.17420010001774983"/>
    <n v="3.9"/>
    <n v="0"/>
  </r>
  <r>
    <x v="0"/>
    <x v="8"/>
    <x v="50"/>
    <n v="6"/>
    <n v="5"/>
    <n v="401.47"/>
    <n v="0.26469470547316504"/>
    <n v="4.333333333333333"/>
    <n v="0"/>
  </r>
  <r>
    <x v="0"/>
    <x v="9"/>
    <x v="50"/>
    <n v="9"/>
    <n v="8"/>
    <n v="888.16"/>
    <n v="0.26184499654029075"/>
    <n v="4"/>
    <n v="0"/>
  </r>
  <r>
    <x v="0"/>
    <x v="10"/>
    <x v="50"/>
    <n v="17"/>
    <n v="14"/>
    <n v="1578.65"/>
    <n v="0.30509237583389259"/>
    <n v="3.3529411764705883"/>
    <n v="0"/>
  </r>
  <r>
    <x v="0"/>
    <x v="11"/>
    <x v="50"/>
    <n v="6"/>
    <n v="6"/>
    <n v="1097.75"/>
    <n v="0.24939862321631795"/>
    <n v="4.166666666666667"/>
    <n v="0.16666666666666666"/>
  </r>
  <r>
    <x v="1"/>
    <x v="12"/>
    <x v="50"/>
    <n v="24"/>
    <n v="21"/>
    <n v="4505.74"/>
    <n v="0.22837074476482722"/>
    <n v="4.416666666666667"/>
    <n v="0"/>
  </r>
  <r>
    <x v="1"/>
    <x v="13"/>
    <x v="50"/>
    <n v="20"/>
    <n v="14"/>
    <n v="1880.1"/>
    <n v="0.26858703273022877"/>
    <n v="4.3499999999999996"/>
    <n v="0.14285714285714285"/>
  </r>
  <r>
    <x v="1"/>
    <x v="14"/>
    <x v="50"/>
    <n v="24"/>
    <n v="20"/>
    <n v="3007.62"/>
    <n v="0.25808092678168432"/>
    <n v="4.125"/>
    <n v="0.1"/>
  </r>
  <r>
    <x v="1"/>
    <x v="15"/>
    <x v="50"/>
    <n v="18"/>
    <n v="12"/>
    <n v="1777.27"/>
    <n v="0.29968944200368197"/>
    <n v="4.333333333333333"/>
    <n v="0.16666666666666666"/>
  </r>
  <r>
    <x v="1"/>
    <x v="16"/>
    <x v="50"/>
    <n v="16"/>
    <n v="13"/>
    <n v="1403.85"/>
    <n v="0.31670959736190324"/>
    <n v="4.25"/>
    <n v="0"/>
  </r>
  <r>
    <x v="1"/>
    <x v="17"/>
    <x v="50"/>
    <n v="11"/>
    <n v="11"/>
    <n v="1067.5999999999999"/>
    <n v="0.26669156162616703"/>
    <n v="4.4545454545454541"/>
    <n v="0"/>
  </r>
  <r>
    <x v="1"/>
    <x v="18"/>
    <x v="50"/>
    <n v="25"/>
    <n v="20"/>
    <n v="2592.27"/>
    <n v="0.33829330010427605"/>
    <n v="3.72"/>
    <n v="0"/>
  </r>
  <r>
    <x v="1"/>
    <x v="19"/>
    <x v="50"/>
    <n v="23"/>
    <n v="19"/>
    <n v="4294.49"/>
    <n v="0.23910105137986035"/>
    <n v="3.5217391304347827"/>
    <n v="0.10526315789473684"/>
  </r>
  <r>
    <x v="0"/>
    <x v="0"/>
    <x v="51"/>
    <n v="40"/>
    <n v="32"/>
    <n v="8730.86"/>
    <n v="0.16146634696969997"/>
    <n v="3.7250000000000001"/>
    <n v="0"/>
  </r>
  <r>
    <x v="0"/>
    <x v="1"/>
    <x v="51"/>
    <n v="70"/>
    <n v="69"/>
    <n v="14857.05"/>
    <n v="0.1516702917479002"/>
    <n v="4.3"/>
    <n v="0"/>
  </r>
  <r>
    <x v="0"/>
    <x v="2"/>
    <x v="51"/>
    <n v="123"/>
    <n v="121"/>
    <n v="23389.43"/>
    <n v="0.14482100888070665"/>
    <n v="4.4146341463414638"/>
    <n v="4.9586776859504134E-2"/>
  </r>
  <r>
    <x v="0"/>
    <x v="3"/>
    <x v="51"/>
    <n v="121"/>
    <n v="119"/>
    <n v="24393.33"/>
    <n v="0.14457545594525009"/>
    <n v="3.9916666666666667"/>
    <n v="9.2436974789915971E-2"/>
  </r>
  <r>
    <x v="0"/>
    <x v="4"/>
    <x v="51"/>
    <n v="249"/>
    <n v="236"/>
    <n v="38750.089999999997"/>
    <n v="0.15292774296940559"/>
    <n v="4.17741935483871"/>
    <n v="2.5423728813559324E-2"/>
  </r>
  <r>
    <x v="0"/>
    <x v="5"/>
    <x v="51"/>
    <n v="202"/>
    <n v="197"/>
    <n v="42974.78"/>
    <n v="0.15736784768148401"/>
    <n v="4.3768844221105532"/>
    <n v="2.5380710659898477E-2"/>
  </r>
  <r>
    <x v="0"/>
    <x v="6"/>
    <x v="51"/>
    <n v="230"/>
    <n v="222"/>
    <n v="42328.6"/>
    <n v="0.16028083005363758"/>
    <n v="4.2687224669603525"/>
    <n v="2.7027027027027029E-2"/>
  </r>
  <r>
    <x v="0"/>
    <x v="7"/>
    <x v="51"/>
    <n v="264"/>
    <n v="241"/>
    <n v="47492.44"/>
    <n v="0.16522238050772564"/>
    <n v="4.3840304182509504"/>
    <n v="8.2987551867219917E-3"/>
  </r>
  <r>
    <x v="0"/>
    <x v="8"/>
    <x v="51"/>
    <n v="208"/>
    <n v="200"/>
    <n v="43473.05"/>
    <n v="0.16604030158309185"/>
    <n v="4.204878048780488"/>
    <n v="3.5000000000000003E-2"/>
  </r>
  <r>
    <x v="0"/>
    <x v="9"/>
    <x v="51"/>
    <n v="258"/>
    <n v="246"/>
    <n v="51176.94"/>
    <n v="0.16302607531389518"/>
    <n v="4.2784313725490195"/>
    <n v="4.4715447154471545E-2"/>
  </r>
  <r>
    <x v="0"/>
    <x v="10"/>
    <x v="51"/>
    <n v="302"/>
    <n v="291"/>
    <n v="62966.12"/>
    <n v="0.14991983378694554"/>
    <n v="4.0709459459459456"/>
    <n v="9.9656357388316158E-2"/>
  </r>
  <r>
    <x v="0"/>
    <x v="11"/>
    <x v="51"/>
    <n v="252"/>
    <n v="235"/>
    <n v="44279.53"/>
    <n v="0.15938597699559781"/>
    <n v="4.024390243902439"/>
    <n v="8.5106382978723402E-2"/>
  </r>
  <r>
    <x v="1"/>
    <x v="12"/>
    <x v="51"/>
    <n v="300"/>
    <n v="289"/>
    <n v="45766.52"/>
    <n v="0.21023044084582612"/>
    <n v="4.1275167785234901"/>
    <n v="5.536332179930796E-2"/>
  </r>
  <r>
    <x v="1"/>
    <x v="13"/>
    <x v="51"/>
    <n v="187"/>
    <n v="182"/>
    <n v="34700.35"/>
    <n v="0.14222569676214872"/>
    <n v="3.8186813186813189"/>
    <n v="0.13186813186813187"/>
  </r>
  <r>
    <x v="1"/>
    <x v="14"/>
    <x v="51"/>
    <n v="256"/>
    <n v="242"/>
    <n v="43913.06"/>
    <n v="0.17085726028513323"/>
    <n v="3.8627450980392157"/>
    <n v="0.13636363636363635"/>
  </r>
  <r>
    <x v="1"/>
    <x v="15"/>
    <x v="51"/>
    <n v="207"/>
    <n v="195"/>
    <n v="40200.699999999997"/>
    <n v="0.16147876246869361"/>
    <n v="4.1592039800995027"/>
    <n v="6.1538461538461542E-2"/>
  </r>
  <r>
    <x v="1"/>
    <x v="16"/>
    <x v="51"/>
    <n v="177"/>
    <n v="169"/>
    <n v="34031.730000000003"/>
    <n v="0.15167705844935331"/>
    <n v="4.1363636363636367"/>
    <n v="5.3254437869822487E-2"/>
  </r>
  <r>
    <x v="1"/>
    <x v="17"/>
    <x v="51"/>
    <n v="103"/>
    <n v="100"/>
    <n v="22026.04"/>
    <n v="0.16681560051870925"/>
    <n v="4.2815533980582527"/>
    <n v="0.05"/>
  </r>
  <r>
    <x v="1"/>
    <x v="18"/>
    <x v="51"/>
    <n v="122"/>
    <n v="118"/>
    <n v="34400.879999999997"/>
    <n v="0.17221726343878641"/>
    <n v="4.2131147540983607"/>
    <n v="3.3898305084745763E-2"/>
  </r>
  <r>
    <x v="1"/>
    <x v="19"/>
    <x v="51"/>
    <n v="123"/>
    <n v="120"/>
    <n v="19091.64"/>
    <n v="0.17497651691105728"/>
    <n v="3.9837398373983741"/>
    <n v="9.166666666666666E-2"/>
  </r>
  <r>
    <x v="0"/>
    <x v="1"/>
    <x v="52"/>
    <n v="1"/>
    <n v="1"/>
    <n v="396.86"/>
    <n v="4.5003275714357707E-2"/>
    <n v="5"/>
    <n v="0"/>
  </r>
  <r>
    <x v="0"/>
    <x v="2"/>
    <x v="52"/>
    <n v="2"/>
    <n v="2"/>
    <n v="425.76"/>
    <n v="0.10704126876226511"/>
    <n v="1"/>
    <n v="0"/>
  </r>
  <r>
    <x v="0"/>
    <x v="7"/>
    <x v="52"/>
    <n v="1"/>
    <n v="1"/>
    <n v="24.69"/>
    <n v="0.6395301741595788"/>
    <n v="1"/>
    <n v="0"/>
  </r>
  <r>
    <x v="0"/>
    <x v="8"/>
    <x v="52"/>
    <n v="5"/>
    <n v="4"/>
    <n v="1202.29"/>
    <n v="0.13972277490546317"/>
    <n v="3.4"/>
    <n v="0"/>
  </r>
  <r>
    <x v="0"/>
    <x v="9"/>
    <x v="52"/>
    <n v="12"/>
    <n v="9"/>
    <n v="1918.55"/>
    <n v="0.150098405447599"/>
    <n v="3.1666666666666665"/>
    <n v="0"/>
  </r>
  <r>
    <x v="0"/>
    <x v="10"/>
    <x v="52"/>
    <n v="15"/>
    <n v="13"/>
    <n v="3560.71"/>
    <n v="0.12233514950077413"/>
    <n v="4.2666666666666666"/>
    <n v="7.6923076923076927E-2"/>
  </r>
  <r>
    <x v="0"/>
    <x v="11"/>
    <x v="52"/>
    <n v="7"/>
    <n v="7"/>
    <n v="1525.46"/>
    <n v="0.15072697205085336"/>
    <n v="3.8571428571428572"/>
    <n v="0"/>
  </r>
  <r>
    <x v="1"/>
    <x v="12"/>
    <x v="52"/>
    <n v="11"/>
    <n v="9"/>
    <n v="2424.7600000000002"/>
    <n v="0.14232140791343395"/>
    <n v="3.7272727272727275"/>
    <n v="0"/>
  </r>
  <r>
    <x v="1"/>
    <x v="13"/>
    <x v="52"/>
    <n v="8"/>
    <n v="7"/>
    <n v="6152.31"/>
    <n v="0.11382206937501772"/>
    <n v="4.5"/>
    <n v="0"/>
  </r>
  <r>
    <x v="1"/>
    <x v="14"/>
    <x v="52"/>
    <n v="22"/>
    <n v="13"/>
    <n v="5789.78"/>
    <n v="0.19720348066178017"/>
    <n v="4.1818181818181817"/>
    <n v="0.15384615384615385"/>
  </r>
  <r>
    <x v="1"/>
    <x v="15"/>
    <x v="52"/>
    <n v="24"/>
    <n v="23"/>
    <n v="3427.97"/>
    <n v="0.21825096887327314"/>
    <n v="4"/>
    <n v="0"/>
  </r>
  <r>
    <x v="1"/>
    <x v="16"/>
    <x v="52"/>
    <n v="29"/>
    <n v="25"/>
    <n v="7902.11"/>
    <n v="0.13188363865587219"/>
    <n v="3.2758620689655173"/>
    <n v="0.08"/>
  </r>
  <r>
    <x v="1"/>
    <x v="17"/>
    <x v="52"/>
    <n v="16"/>
    <n v="16"/>
    <n v="2972.88"/>
    <n v="0.22434803137413353"/>
    <n v="4.125"/>
    <n v="0"/>
  </r>
  <r>
    <x v="1"/>
    <x v="18"/>
    <x v="52"/>
    <n v="15"/>
    <n v="15"/>
    <n v="2142.9"/>
    <n v="0.18164855887909601"/>
    <n v="4.2666666666666666"/>
    <n v="0"/>
  </r>
  <r>
    <x v="1"/>
    <x v="19"/>
    <x v="52"/>
    <n v="26"/>
    <n v="22"/>
    <n v="4596.59"/>
    <n v="0.13449531582057753"/>
    <n v="3.9230769230769229"/>
    <n v="0"/>
  </r>
  <r>
    <x v="0"/>
    <x v="6"/>
    <x v="53"/>
    <n v="1"/>
    <n v="1"/>
    <n v="401.45"/>
    <n v="0.10325071615394196"/>
    <n v="5"/>
    <n v="0"/>
  </r>
  <r>
    <x v="0"/>
    <x v="7"/>
    <x v="53"/>
    <n v="2"/>
    <n v="2"/>
    <n v="670.98"/>
    <n v="0.12681179372420875"/>
    <n v="5"/>
    <n v="0"/>
  </r>
  <r>
    <x v="0"/>
    <x v="8"/>
    <x v="53"/>
    <n v="1"/>
    <n v="1"/>
    <n v="258.98"/>
    <n v="0.11576183489072515"/>
    <n v="1"/>
    <n v="0"/>
  </r>
  <r>
    <x v="0"/>
    <x v="9"/>
    <x v="53"/>
    <n v="2"/>
    <n v="2"/>
    <n v="651.1"/>
    <n v="0.23183743259140463"/>
    <n v="3.5"/>
    <n v="0.5"/>
  </r>
  <r>
    <x v="0"/>
    <x v="10"/>
    <x v="53"/>
    <n v="10"/>
    <n v="9"/>
    <n v="2606.9899999999998"/>
    <n v="0.17606205032324518"/>
    <n v="3.4"/>
    <n v="0.33333333333333331"/>
  </r>
  <r>
    <x v="0"/>
    <x v="11"/>
    <x v="53"/>
    <n v="2"/>
    <n v="2"/>
    <n v="206.46"/>
    <n v="0.14577893213057219"/>
    <n v="4"/>
    <n v="0.5"/>
  </r>
  <r>
    <x v="1"/>
    <x v="12"/>
    <x v="53"/>
    <n v="7"/>
    <n v="6"/>
    <n v="2554.77"/>
    <n v="0.11300656010380936"/>
    <n v="4.1428571428571432"/>
    <n v="0"/>
  </r>
  <r>
    <x v="1"/>
    <x v="13"/>
    <x v="53"/>
    <n v="17"/>
    <n v="9"/>
    <n v="1967.47"/>
    <n v="0.22574017575522301"/>
    <n v="3.8823529411764706"/>
    <n v="0"/>
  </r>
  <r>
    <x v="1"/>
    <x v="14"/>
    <x v="53"/>
    <n v="13"/>
    <n v="12"/>
    <n v="3138.15"/>
    <n v="0.21104652538956245"/>
    <n v="3.2307692307692308"/>
    <n v="0.41666666666666669"/>
  </r>
  <r>
    <x v="1"/>
    <x v="15"/>
    <x v="53"/>
    <n v="47"/>
    <n v="37"/>
    <n v="5827.5"/>
    <n v="0.17675316668540247"/>
    <n v="3.5853658536585367"/>
    <n v="0"/>
  </r>
  <r>
    <x v="1"/>
    <x v="16"/>
    <x v="53"/>
    <n v="41"/>
    <n v="32"/>
    <n v="6321.37"/>
    <n v="0.15483482651892796"/>
    <n v="4.2631578947368425"/>
    <n v="6.25E-2"/>
  </r>
  <r>
    <x v="1"/>
    <x v="17"/>
    <x v="53"/>
    <n v="44"/>
    <n v="35"/>
    <n v="5538.59"/>
    <n v="0.19457586435386415"/>
    <n v="4.0909090909090908"/>
    <n v="0"/>
  </r>
  <r>
    <x v="1"/>
    <x v="18"/>
    <x v="53"/>
    <n v="55"/>
    <n v="40"/>
    <n v="8631.4"/>
    <n v="0.21137698796304791"/>
    <n v="4.7222222222222223"/>
    <n v="0.15"/>
  </r>
  <r>
    <x v="1"/>
    <x v="19"/>
    <x v="53"/>
    <n v="62"/>
    <n v="56"/>
    <n v="9888.59"/>
    <n v="0.20501159642454289"/>
    <n v="3.935483870967742"/>
    <n v="7.1428571428571425E-2"/>
  </r>
  <r>
    <x v="0"/>
    <x v="0"/>
    <x v="54"/>
    <n v="1"/>
    <n v="1"/>
    <n v="335"/>
    <n v="7.4626865671641784E-2"/>
    <n v="1"/>
    <n v="0"/>
  </r>
  <r>
    <x v="0"/>
    <x v="1"/>
    <x v="54"/>
    <n v="3"/>
    <n v="3"/>
    <n v="393.57"/>
    <n v="0.17632605527647288"/>
    <n v="5"/>
    <n v="0"/>
  </r>
  <r>
    <x v="0"/>
    <x v="2"/>
    <x v="54"/>
    <n v="4"/>
    <n v="4"/>
    <n v="895.42"/>
    <n v="0.15857066608011292"/>
    <n v="1.75"/>
    <n v="0"/>
  </r>
  <r>
    <x v="0"/>
    <x v="4"/>
    <x v="54"/>
    <n v="1"/>
    <n v="1"/>
    <n v="149.4"/>
    <n v="0.33072289156626505"/>
    <n v="5"/>
    <n v="0"/>
  </r>
  <r>
    <x v="0"/>
    <x v="5"/>
    <x v="54"/>
    <n v="8"/>
    <n v="4"/>
    <n v="475.31"/>
    <n v="0.18736340513160571"/>
    <n v="3"/>
    <n v="0"/>
  </r>
  <r>
    <x v="0"/>
    <x v="6"/>
    <x v="54"/>
    <n v="6"/>
    <n v="5"/>
    <n v="822.97"/>
    <n v="0.32305731495406326"/>
    <n v="4.666666666666667"/>
    <n v="0"/>
  </r>
  <r>
    <x v="0"/>
    <x v="7"/>
    <x v="54"/>
    <n v="7"/>
    <n v="6"/>
    <n v="1394.33"/>
    <n v="0.20056235309705386"/>
    <n v="3.8571428571428572"/>
    <n v="0.16666666666666666"/>
  </r>
  <r>
    <x v="0"/>
    <x v="8"/>
    <x v="54"/>
    <n v="11"/>
    <n v="8"/>
    <n v="1487.04"/>
    <n v="0.17229999397833867"/>
    <n v="4.1818181818181817"/>
    <n v="0"/>
  </r>
  <r>
    <x v="0"/>
    <x v="9"/>
    <x v="54"/>
    <n v="19"/>
    <n v="15"/>
    <n v="3024.83"/>
    <n v="0.16662264434948015"/>
    <n v="4.2105263157894735"/>
    <n v="0"/>
  </r>
  <r>
    <x v="0"/>
    <x v="10"/>
    <x v="54"/>
    <n v="47"/>
    <n v="36"/>
    <n v="8596.2900000000009"/>
    <n v="0.22533700138163754"/>
    <n v="4.2391304347826084"/>
    <n v="0.16666666666666666"/>
  </r>
  <r>
    <x v="0"/>
    <x v="11"/>
    <x v="54"/>
    <n v="27"/>
    <n v="22"/>
    <n v="6566.5"/>
    <n v="0.16726276096788437"/>
    <n v="3.5769230769230771"/>
    <n v="0.22727272727272727"/>
  </r>
  <r>
    <x v="1"/>
    <x v="12"/>
    <x v="54"/>
    <n v="50"/>
    <n v="40"/>
    <n v="11624.76"/>
    <n v="0.16712936101122136"/>
    <n v="4.1224489795918364"/>
    <n v="7.4999999999999997E-2"/>
  </r>
  <r>
    <x v="1"/>
    <x v="13"/>
    <x v="54"/>
    <n v="69"/>
    <n v="54"/>
    <n v="10145.26"/>
    <n v="0.18685154388441835"/>
    <n v="3.8235294117647061"/>
    <n v="0.18518518518518517"/>
  </r>
  <r>
    <x v="1"/>
    <x v="14"/>
    <x v="54"/>
    <n v="71"/>
    <n v="52"/>
    <n v="12244.21"/>
    <n v="0.21734370660100319"/>
    <n v="3.3571428571428572"/>
    <n v="0.11538461538461539"/>
  </r>
  <r>
    <x v="1"/>
    <x v="15"/>
    <x v="54"/>
    <n v="92"/>
    <n v="78"/>
    <n v="15576.76"/>
    <n v="0.22806126533425239"/>
    <n v="4.0989010989010985"/>
    <n v="5.128205128205128E-2"/>
  </r>
  <r>
    <x v="1"/>
    <x v="16"/>
    <x v="54"/>
    <n v="125"/>
    <n v="89"/>
    <n v="23580.34"/>
    <n v="0.20202526761197159"/>
    <n v="4.1120000000000001"/>
    <n v="4.49438202247191E-2"/>
  </r>
  <r>
    <x v="1"/>
    <x v="17"/>
    <x v="54"/>
    <n v="113"/>
    <n v="108"/>
    <n v="25372.45"/>
    <n v="0.20556413318548547"/>
    <n v="4.2123893805309738"/>
    <n v="9.2592592592592587E-3"/>
  </r>
  <r>
    <x v="1"/>
    <x v="18"/>
    <x v="54"/>
    <n v="115"/>
    <n v="98"/>
    <n v="17589.95"/>
    <n v="0.22162459867968751"/>
    <n v="4.3245614035087723"/>
    <n v="4.0816326530612242E-2"/>
  </r>
  <r>
    <x v="1"/>
    <x v="19"/>
    <x v="54"/>
    <n v="162"/>
    <n v="124"/>
    <n v="25925.05"/>
    <n v="0.19215451496349567"/>
    <n v="4.1614906832298137"/>
    <n v="0.11290322580645161"/>
  </r>
  <r>
    <x v="0"/>
    <x v="0"/>
    <x v="55"/>
    <n v="23"/>
    <n v="21"/>
    <n v="6393.53"/>
    <n v="0.1364948016750073"/>
    <n v="4.1818181818181817"/>
    <n v="9.5238095238095233E-2"/>
  </r>
  <r>
    <x v="0"/>
    <x v="1"/>
    <x v="55"/>
    <n v="18"/>
    <n v="18"/>
    <n v="4637.96"/>
    <n v="0.12077000293139212"/>
    <n v="4.1111111111111107"/>
    <n v="0"/>
  </r>
  <r>
    <x v="0"/>
    <x v="2"/>
    <x v="55"/>
    <n v="50"/>
    <n v="48"/>
    <n v="11743.86"/>
    <n v="0.14174614227775259"/>
    <n v="3.8571428571428572"/>
    <n v="8.3333333333333329E-2"/>
  </r>
  <r>
    <x v="0"/>
    <x v="3"/>
    <x v="55"/>
    <n v="17"/>
    <n v="15"/>
    <n v="4072.8"/>
    <n v="0.18465920814798084"/>
    <n v="4.1764705882352944"/>
    <n v="0"/>
  </r>
  <r>
    <x v="0"/>
    <x v="4"/>
    <x v="55"/>
    <n v="29"/>
    <n v="26"/>
    <n v="2947.24"/>
    <n v="0.22939448564878662"/>
    <n v="4.1379310344827589"/>
    <n v="0"/>
  </r>
  <r>
    <x v="0"/>
    <x v="5"/>
    <x v="55"/>
    <n v="30"/>
    <n v="27"/>
    <n v="5954.62"/>
    <n v="0.22196318818833488"/>
    <n v="4.2758620689655169"/>
    <n v="3.7037037037037035E-2"/>
  </r>
  <r>
    <x v="0"/>
    <x v="6"/>
    <x v="55"/>
    <n v="48"/>
    <n v="46"/>
    <n v="6553.58"/>
    <n v="0.27744199503167805"/>
    <n v="4.25"/>
    <n v="0.10869565217391304"/>
  </r>
  <r>
    <x v="0"/>
    <x v="7"/>
    <x v="55"/>
    <n v="91"/>
    <n v="85"/>
    <n v="10953.59"/>
    <n v="0.28789395332573914"/>
    <n v="4.2222222222222223"/>
    <n v="1.1764705882352941E-2"/>
  </r>
  <r>
    <x v="0"/>
    <x v="8"/>
    <x v="55"/>
    <n v="66"/>
    <n v="61"/>
    <n v="10021.32"/>
    <n v="0.2629755550268898"/>
    <n v="4.2424242424242422"/>
    <n v="4.9180327868852458E-2"/>
  </r>
  <r>
    <x v="0"/>
    <x v="9"/>
    <x v="55"/>
    <n v="109"/>
    <n v="101"/>
    <n v="12297.05"/>
    <n v="0.26657085110912832"/>
    <n v="3.9816513761467891"/>
    <n v="3.9603960396039604E-2"/>
  </r>
  <r>
    <x v="0"/>
    <x v="10"/>
    <x v="55"/>
    <n v="134"/>
    <n v="129"/>
    <n v="14802.59"/>
    <n v="0.26553775316676465"/>
    <n v="4.0375939849624061"/>
    <n v="8.5271317829457363E-2"/>
  </r>
  <r>
    <x v="0"/>
    <x v="11"/>
    <x v="55"/>
    <n v="93"/>
    <n v="88"/>
    <n v="10409.48"/>
    <n v="0.23083459053771802"/>
    <n v="4.172043010752688"/>
    <n v="7.9545454545454544E-2"/>
  </r>
  <r>
    <x v="1"/>
    <x v="12"/>
    <x v="55"/>
    <n v="54"/>
    <n v="53"/>
    <n v="9082.49"/>
    <n v="0.19313676863893908"/>
    <n v="4"/>
    <n v="1.8867924528301886E-2"/>
  </r>
  <r>
    <x v="1"/>
    <x v="13"/>
    <x v="55"/>
    <n v="52"/>
    <n v="51"/>
    <n v="13015.83"/>
    <n v="0.15803868192798026"/>
    <n v="3.5961538461538463"/>
    <n v="0.13725490196078433"/>
  </r>
  <r>
    <x v="1"/>
    <x v="14"/>
    <x v="55"/>
    <n v="58"/>
    <n v="54"/>
    <n v="13078.06"/>
    <n v="0.23831145821791644"/>
    <n v="3.6666666666666665"/>
    <n v="0.24074074074074073"/>
  </r>
  <r>
    <x v="1"/>
    <x v="15"/>
    <x v="55"/>
    <n v="48"/>
    <n v="43"/>
    <n v="8110.5"/>
    <n v="0.2405668266146006"/>
    <n v="3.7446808510638299"/>
    <n v="4.6511627906976744E-2"/>
  </r>
  <r>
    <x v="1"/>
    <x v="16"/>
    <x v="55"/>
    <n v="54"/>
    <n v="40"/>
    <n v="6671.21"/>
    <n v="0.26805150122373778"/>
    <n v="3.6481481481481479"/>
    <n v="2.5000000000000001E-2"/>
  </r>
  <r>
    <x v="1"/>
    <x v="17"/>
    <x v="55"/>
    <n v="43"/>
    <n v="41"/>
    <n v="7642.03"/>
    <n v="0.2200523530724656"/>
    <n v="4.4186046511627906"/>
    <n v="2.4390243902439025E-2"/>
  </r>
  <r>
    <x v="1"/>
    <x v="18"/>
    <x v="55"/>
    <n v="49"/>
    <n v="49"/>
    <n v="9539.14"/>
    <n v="0.18866398727148356"/>
    <n v="4.229166666666667"/>
    <n v="2.0408163265306121E-2"/>
  </r>
  <r>
    <x v="1"/>
    <x v="19"/>
    <x v="55"/>
    <n v="62"/>
    <n v="56"/>
    <n v="5828.24"/>
    <n v="0.21208093964688823"/>
    <n v="3.9193548387096775"/>
    <n v="0"/>
  </r>
  <r>
    <x v="0"/>
    <x v="0"/>
    <x v="56"/>
    <n v="31"/>
    <n v="24"/>
    <n v="4377.6000000000004"/>
    <n v="0.26013504553268602"/>
    <n v="4.32258064516129"/>
    <n v="4.1666666666666664E-2"/>
  </r>
  <r>
    <x v="0"/>
    <x v="1"/>
    <x v="56"/>
    <n v="106"/>
    <n v="97"/>
    <n v="13744.35"/>
    <n v="0.2672229913377126"/>
    <n v="3.9615384615384617"/>
    <n v="5.1546391752577317E-2"/>
  </r>
  <r>
    <x v="0"/>
    <x v="2"/>
    <x v="56"/>
    <n v="174"/>
    <n v="150"/>
    <n v="31873.84"/>
    <n v="0.24686259976568795"/>
    <n v="3.8546511627906979"/>
    <n v="7.3333333333333334E-2"/>
  </r>
  <r>
    <x v="0"/>
    <x v="3"/>
    <x v="56"/>
    <n v="136"/>
    <n v="120"/>
    <n v="23180.46"/>
    <n v="0.21937832192250137"/>
    <n v="3.8296296296296295"/>
    <n v="0.05"/>
  </r>
  <r>
    <x v="0"/>
    <x v="4"/>
    <x v="56"/>
    <n v="320"/>
    <n v="260"/>
    <n v="51306.32"/>
    <n v="0.19408212044694664"/>
    <n v="4.2610062893081757"/>
    <n v="3.0769230769230771E-2"/>
  </r>
  <r>
    <x v="0"/>
    <x v="5"/>
    <x v="56"/>
    <n v="262"/>
    <n v="219"/>
    <n v="41684.93"/>
    <n v="0.21437716453146516"/>
    <n v="3.9764705882352942"/>
    <n v="2.2831050228310501E-2"/>
  </r>
  <r>
    <x v="0"/>
    <x v="6"/>
    <x v="56"/>
    <n v="326"/>
    <n v="274"/>
    <n v="44599.21"/>
    <n v="0.20741263746714256"/>
    <n v="4.1121495327102808"/>
    <n v="4.7445255474452552E-2"/>
  </r>
  <r>
    <x v="0"/>
    <x v="7"/>
    <x v="56"/>
    <n v="350"/>
    <n v="297"/>
    <n v="40946.28"/>
    <n v="0.22007902139013338"/>
    <n v="4.2471264367816088"/>
    <n v="2.6936026936026935E-2"/>
  </r>
  <r>
    <x v="0"/>
    <x v="8"/>
    <x v="56"/>
    <n v="253"/>
    <n v="216"/>
    <n v="33981.360000000001"/>
    <n v="0.21616952082764476"/>
    <n v="3.9644268774703555"/>
    <n v="3.2407407407407406E-2"/>
  </r>
  <r>
    <x v="0"/>
    <x v="9"/>
    <x v="56"/>
    <n v="322"/>
    <n v="265"/>
    <n v="50391.46"/>
    <n v="0.20169041775607399"/>
    <n v="4.0377358490566042"/>
    <n v="4.1509433962264149E-2"/>
  </r>
  <r>
    <x v="0"/>
    <x v="10"/>
    <x v="56"/>
    <n v="533"/>
    <n v="444"/>
    <n v="83945.82"/>
    <n v="0.19742109876581826"/>
    <n v="3.7893738140417459"/>
    <n v="7.6576576576576572E-2"/>
  </r>
  <r>
    <x v="0"/>
    <x v="11"/>
    <x v="56"/>
    <n v="289"/>
    <n v="252"/>
    <n v="43917.64"/>
    <n v="0.19717498592306151"/>
    <n v="4.0283687943262407"/>
    <n v="8.7301587301587297E-2"/>
  </r>
  <r>
    <x v="1"/>
    <x v="12"/>
    <x v="56"/>
    <n v="720"/>
    <n v="593"/>
    <n v="97810.26"/>
    <n v="0.17817194613827372"/>
    <n v="3.848354792560801"/>
    <n v="5.0590219224283306E-2"/>
  </r>
  <r>
    <x v="1"/>
    <x v="13"/>
    <x v="56"/>
    <n v="994"/>
    <n v="801"/>
    <n v="119754.59"/>
    <n v="0.18421278654741799"/>
    <n v="3.467357512953368"/>
    <n v="0.17103620474406991"/>
  </r>
  <r>
    <x v="1"/>
    <x v="14"/>
    <x v="56"/>
    <n v="760"/>
    <n v="638"/>
    <n v="100839.87"/>
    <n v="0.19263188832576797"/>
    <n v="3.830238726790451"/>
    <n v="0.18808777429467086"/>
  </r>
  <r>
    <x v="1"/>
    <x v="15"/>
    <x v="56"/>
    <n v="544"/>
    <n v="481"/>
    <n v="69850.5"/>
    <n v="0.18342339319275322"/>
    <n v="3.9554730983302413"/>
    <n v="3.7422037422037424E-2"/>
  </r>
  <r>
    <x v="1"/>
    <x v="16"/>
    <x v="56"/>
    <n v="464"/>
    <n v="409"/>
    <n v="60055.71"/>
    <n v="0.20421257260492989"/>
    <n v="3.9632034632034632"/>
    <n v="4.4009779951100246E-2"/>
  </r>
  <r>
    <x v="1"/>
    <x v="17"/>
    <x v="56"/>
    <n v="408"/>
    <n v="358"/>
    <n v="51137.98"/>
    <n v="0.2184443805398347"/>
    <n v="4.1154791154791157"/>
    <n v="5.5865921787709499E-3"/>
  </r>
  <r>
    <x v="1"/>
    <x v="18"/>
    <x v="56"/>
    <n v="427"/>
    <n v="389"/>
    <n v="50518.25"/>
    <n v="0.23291856279868164"/>
    <n v="4.23943661971831"/>
    <n v="3.3419023136246784E-2"/>
  </r>
  <r>
    <x v="1"/>
    <x v="19"/>
    <x v="56"/>
    <n v="419"/>
    <n v="384"/>
    <n v="48190.39"/>
    <n v="0.21847059642903852"/>
    <n v="4.2740384615384617"/>
    <n v="6.7708333333333329E-2"/>
  </r>
  <r>
    <x v="0"/>
    <x v="0"/>
    <x v="57"/>
    <n v="1"/>
    <n v="1"/>
    <n v="2217.9899999999998"/>
    <n v="8.1154558857343805E-3"/>
    <n v="4"/>
    <n v="0"/>
  </r>
  <r>
    <x v="0"/>
    <x v="1"/>
    <x v="57"/>
    <n v="1"/>
    <n v="1"/>
    <n v="3602.47"/>
    <n v="1.4842594109041853E-2"/>
    <n v="5"/>
    <n v="0"/>
  </r>
  <r>
    <x v="0"/>
    <x v="7"/>
    <x v="57"/>
    <n v="29"/>
    <n v="29"/>
    <n v="34826"/>
    <n v="3.272975963130529E-2"/>
    <n v="4.2068965517241379"/>
    <n v="3.4482758620689655E-2"/>
  </r>
  <r>
    <x v="0"/>
    <x v="8"/>
    <x v="57"/>
    <n v="41"/>
    <n v="40"/>
    <n v="54631.56"/>
    <n v="3.3204354643239911E-2"/>
    <n v="4.4634146341463419"/>
    <n v="0.05"/>
  </r>
  <r>
    <x v="0"/>
    <x v="9"/>
    <x v="57"/>
    <n v="27"/>
    <n v="26"/>
    <n v="41683.94"/>
    <n v="3.2676893203741578E-2"/>
    <n v="4.1923076923076925"/>
    <n v="0"/>
  </r>
  <r>
    <x v="0"/>
    <x v="10"/>
    <x v="57"/>
    <n v="7"/>
    <n v="7"/>
    <n v="10060.4"/>
    <n v="2.9113505004892543E-2"/>
    <n v="4.2857142857142856"/>
    <n v="0"/>
  </r>
  <r>
    <x v="0"/>
    <x v="11"/>
    <x v="57"/>
    <n v="23"/>
    <n v="19"/>
    <n v="17916.27"/>
    <n v="7.2879760642004562E-2"/>
    <n v="3.5"/>
    <n v="0.10526315789473684"/>
  </r>
  <r>
    <x v="1"/>
    <x v="12"/>
    <x v="57"/>
    <n v="12"/>
    <n v="12"/>
    <n v="8300.98"/>
    <n v="0.10262026501740198"/>
    <n v="3.9166666666666665"/>
    <n v="8.3333333333333329E-2"/>
  </r>
  <r>
    <x v="1"/>
    <x v="15"/>
    <x v="57"/>
    <n v="15"/>
    <n v="13"/>
    <n v="14571.61"/>
    <n v="6.0487394436466446E-2"/>
    <n v="4.0666666666666664"/>
    <n v="0"/>
  </r>
  <r>
    <x v="1"/>
    <x v="16"/>
    <x v="57"/>
    <n v="14"/>
    <n v="7"/>
    <n v="9944.61"/>
    <n v="5.2045328638860681E-2"/>
    <n v="4.5"/>
    <n v="0.14285714285714285"/>
  </r>
  <r>
    <x v="1"/>
    <x v="17"/>
    <x v="57"/>
    <n v="13"/>
    <n v="8"/>
    <n v="13867.87"/>
    <n v="6.4124866236848502E-2"/>
    <n v="4.6923076923076925"/>
    <n v="0.125"/>
  </r>
  <r>
    <x v="1"/>
    <x v="18"/>
    <x v="57"/>
    <n v="8"/>
    <n v="8"/>
    <n v="11947.48"/>
    <n v="8.9681405116044305E-2"/>
    <n v="4.2857142857142856"/>
    <n v="0.25"/>
  </r>
  <r>
    <x v="1"/>
    <x v="19"/>
    <x v="57"/>
    <n v="12"/>
    <n v="10"/>
    <n v="9228.25"/>
    <n v="8.225591075350272E-2"/>
    <n v="3.5833333333333335"/>
    <n v="0"/>
  </r>
  <r>
    <x v="0"/>
    <x v="1"/>
    <x v="58"/>
    <n v="1"/>
    <n v="1"/>
    <n v="95.24"/>
    <n v="0.38051238975220497"/>
    <n v="5"/>
    <n v="0"/>
  </r>
  <r>
    <x v="0"/>
    <x v="3"/>
    <x v="58"/>
    <n v="2"/>
    <n v="2"/>
    <n v="166.31"/>
    <n v="0.28844846320432965"/>
    <n v="5"/>
    <n v="0.5"/>
  </r>
  <r>
    <x v="0"/>
    <x v="4"/>
    <x v="58"/>
    <n v="1"/>
    <n v="1"/>
    <n v="91.71"/>
    <n v="0.35666775706029874"/>
    <n v="5"/>
    <n v="0"/>
  </r>
  <r>
    <x v="0"/>
    <x v="5"/>
    <x v="58"/>
    <n v="1"/>
    <n v="1"/>
    <n v="112.91"/>
    <n v="0.30032769462403686"/>
    <n v="5"/>
    <n v="0"/>
  </r>
  <r>
    <x v="0"/>
    <x v="8"/>
    <x v="58"/>
    <n v="1"/>
    <n v="1"/>
    <n v="102.84"/>
    <n v="0.32905484247374561"/>
    <n v="5"/>
    <n v="0"/>
  </r>
  <r>
    <x v="0"/>
    <x v="9"/>
    <x v="58"/>
    <n v="1"/>
    <n v="1"/>
    <n v="107"/>
    <n v="0.35514018691588783"/>
    <n v="3"/>
    <n v="0"/>
  </r>
  <r>
    <x v="0"/>
    <x v="10"/>
    <x v="58"/>
    <n v="1"/>
    <n v="1"/>
    <n v="259.94"/>
    <n v="6.9015926752327456E-2"/>
    <n v="1"/>
    <n v="1"/>
  </r>
  <r>
    <x v="1"/>
    <x v="12"/>
    <x v="58"/>
    <n v="2"/>
    <n v="2"/>
    <n v="223.78"/>
    <n v="0.10635445526856735"/>
    <n v="5"/>
    <n v="0"/>
  </r>
  <r>
    <x v="1"/>
    <x v="13"/>
    <x v="58"/>
    <n v="2"/>
    <n v="2"/>
    <n v="272.12"/>
    <n v="0.1612144722160388"/>
    <n v="5"/>
    <n v="0"/>
  </r>
  <r>
    <x v="1"/>
    <x v="14"/>
    <x v="58"/>
    <n v="7"/>
    <n v="6"/>
    <n v="846.54"/>
    <n v="0.16579187730485864"/>
    <n v="2.2857142857142856"/>
    <n v="0"/>
  </r>
  <r>
    <x v="1"/>
    <x v="15"/>
    <x v="58"/>
    <n v="5"/>
    <n v="5"/>
    <n v="621.13"/>
    <n v="0.17914020667868402"/>
    <n v="4.4000000000000004"/>
    <n v="0.2"/>
  </r>
  <r>
    <x v="1"/>
    <x v="16"/>
    <x v="58"/>
    <n v="18"/>
    <n v="17"/>
    <n v="2570.88"/>
    <n v="0.1550363105726151"/>
    <n v="4.5555555555555554"/>
    <n v="5.8823529411764705E-2"/>
  </r>
  <r>
    <x v="1"/>
    <x v="17"/>
    <x v="58"/>
    <n v="13"/>
    <n v="9"/>
    <n v="609.36"/>
    <n v="0.41394523364011465"/>
    <n v="4.3076923076923075"/>
    <n v="0"/>
  </r>
  <r>
    <x v="1"/>
    <x v="18"/>
    <x v="58"/>
    <n v="8"/>
    <n v="7"/>
    <n v="1314.9"/>
    <n v="0.15961696246187093"/>
    <n v="4.5"/>
    <n v="0"/>
  </r>
  <r>
    <x v="1"/>
    <x v="19"/>
    <x v="58"/>
    <n v="10"/>
    <n v="9"/>
    <n v="818.29"/>
    <n v="0.25462949456333606"/>
    <n v="4.0999999999999996"/>
    <n v="0"/>
  </r>
  <r>
    <x v="0"/>
    <x v="3"/>
    <x v="59"/>
    <n v="1"/>
    <n v="1"/>
    <n v="93.97"/>
    <n v="0.26572310311801639"/>
    <n v="5"/>
    <n v="0"/>
  </r>
  <r>
    <x v="0"/>
    <x v="5"/>
    <x v="59"/>
    <n v="3"/>
    <n v="2"/>
    <n v="246.25"/>
    <n v="0.30672766753924624"/>
    <n v="4.333333333333333"/>
    <n v="0"/>
  </r>
  <r>
    <x v="0"/>
    <x v="6"/>
    <x v="59"/>
    <n v="2"/>
    <n v="2"/>
    <n v="98.05"/>
    <n v="0.47301714802186945"/>
    <n v="4.5"/>
    <n v="0"/>
  </r>
  <r>
    <x v="0"/>
    <x v="7"/>
    <x v="59"/>
    <n v="1"/>
    <n v="1"/>
    <n v="76.88"/>
    <n v="0.23387096774193547"/>
    <n v="5"/>
    <n v="0"/>
  </r>
  <r>
    <x v="0"/>
    <x v="8"/>
    <x v="59"/>
    <n v="4"/>
    <n v="3"/>
    <n v="318.27999999999997"/>
    <n v="0.20155141389742412"/>
    <n v="4.75"/>
    <n v="0"/>
  </r>
  <r>
    <x v="0"/>
    <x v="9"/>
    <x v="59"/>
    <n v="12"/>
    <n v="7"/>
    <n v="531.24"/>
    <n v="0.24748780064001913"/>
    <n v="4.583333333333333"/>
    <n v="0"/>
  </r>
  <r>
    <x v="0"/>
    <x v="10"/>
    <x v="59"/>
    <n v="24"/>
    <n v="20"/>
    <n v="1791.98"/>
    <n v="0.3705294184928824"/>
    <n v="3.375"/>
    <n v="0.1"/>
  </r>
  <r>
    <x v="0"/>
    <x v="11"/>
    <x v="59"/>
    <n v="16"/>
    <n v="14"/>
    <n v="794.97"/>
    <n v="0.45135342403702383"/>
    <n v="4.4000000000000004"/>
    <n v="0"/>
  </r>
  <r>
    <x v="1"/>
    <x v="12"/>
    <x v="59"/>
    <n v="10"/>
    <n v="9"/>
    <n v="1104.46"/>
    <n v="0.22876154588742889"/>
    <n v="3.9"/>
    <n v="0"/>
  </r>
  <r>
    <x v="1"/>
    <x v="13"/>
    <x v="59"/>
    <n v="24"/>
    <n v="17"/>
    <n v="2671.35"/>
    <n v="0.24104710477887686"/>
    <n v="3.5555555555555558"/>
    <n v="0.52941176470588236"/>
  </r>
  <r>
    <x v="1"/>
    <x v="14"/>
    <x v="59"/>
    <n v="12"/>
    <n v="12"/>
    <n v="1194.29"/>
    <n v="0.31057573720433967"/>
    <n v="3"/>
    <n v="0.25"/>
  </r>
  <r>
    <x v="1"/>
    <x v="15"/>
    <x v="59"/>
    <n v="12"/>
    <n v="9"/>
    <n v="518.58000000000004"/>
    <n v="0.56379369239943611"/>
    <n v="4.5"/>
    <n v="0"/>
  </r>
  <r>
    <x v="1"/>
    <x v="16"/>
    <x v="59"/>
    <n v="6"/>
    <n v="6"/>
    <n v="672.74"/>
    <n v="0.28785735574803939"/>
    <n v="5"/>
    <n v="0"/>
  </r>
  <r>
    <x v="1"/>
    <x v="17"/>
    <x v="59"/>
    <n v="7"/>
    <n v="6"/>
    <n v="476.71"/>
    <n v="0.354800621097211"/>
    <n v="4.5714285714285712"/>
    <n v="0"/>
  </r>
  <r>
    <x v="1"/>
    <x v="18"/>
    <x v="59"/>
    <n v="8"/>
    <n v="8"/>
    <n v="661.66"/>
    <n v="0.33887089522154679"/>
    <n v="4.375"/>
    <n v="0.125"/>
  </r>
  <r>
    <x v="1"/>
    <x v="19"/>
    <x v="59"/>
    <n v="11"/>
    <n v="11"/>
    <n v="778.71"/>
    <n v="0.36107944478140652"/>
    <n v="4"/>
    <n v="0"/>
  </r>
  <r>
    <x v="0"/>
    <x v="6"/>
    <x v="60"/>
    <n v="5"/>
    <n v="4"/>
    <n v="299.38"/>
    <n v="0.24708330898401415"/>
    <n v="4"/>
    <n v="0"/>
  </r>
  <r>
    <x v="0"/>
    <x v="7"/>
    <x v="60"/>
    <n v="3"/>
    <n v="2"/>
    <n v="177.16"/>
    <n v="0.23605686499790282"/>
    <n v="5"/>
    <n v="0"/>
  </r>
  <r>
    <x v="0"/>
    <x v="9"/>
    <x v="60"/>
    <n v="1"/>
    <n v="1"/>
    <n v="61.11"/>
    <n v="0.26362297496318116"/>
    <n v="5"/>
    <n v="0"/>
  </r>
  <r>
    <x v="0"/>
    <x v="10"/>
    <x v="60"/>
    <n v="3"/>
    <n v="3"/>
    <n v="224.82"/>
    <n v="0.13263944488924473"/>
    <n v="5"/>
    <n v="0"/>
  </r>
  <r>
    <x v="0"/>
    <x v="11"/>
    <x v="60"/>
    <n v="1"/>
    <n v="1"/>
    <n v="74.94"/>
    <n v="0.13263944488924473"/>
    <n v="5"/>
    <n v="0"/>
  </r>
  <r>
    <x v="1"/>
    <x v="15"/>
    <x v="60"/>
    <n v="1"/>
    <n v="1"/>
    <n v="117.58"/>
    <n v="0.44718489539037254"/>
    <n v="5"/>
    <n v="0"/>
  </r>
  <r>
    <x v="0"/>
    <x v="1"/>
    <x v="61"/>
    <n v="1"/>
    <n v="1"/>
    <n v="182.4"/>
    <n v="0.12828947368421054"/>
    <n v="4"/>
    <n v="0"/>
  </r>
  <r>
    <x v="0"/>
    <x v="2"/>
    <x v="61"/>
    <n v="2"/>
    <n v="2"/>
    <n v="103.74"/>
    <n v="0.2839882042157123"/>
    <n v="5"/>
    <n v="0"/>
  </r>
  <r>
    <x v="0"/>
    <x v="3"/>
    <x v="61"/>
    <n v="1"/>
    <n v="1"/>
    <n v="86.92"/>
    <n v="0.13713759779107226"/>
    <n v="4"/>
    <n v="1"/>
  </r>
  <r>
    <x v="0"/>
    <x v="4"/>
    <x v="61"/>
    <n v="3"/>
    <n v="3"/>
    <n v="316.45999999999998"/>
    <n v="0.21836391798928323"/>
    <n v="4.666666666666667"/>
    <n v="0.33333333333333331"/>
  </r>
  <r>
    <x v="0"/>
    <x v="5"/>
    <x v="61"/>
    <n v="2"/>
    <n v="2"/>
    <n v="188.53"/>
    <n v="0.22685804659232198"/>
    <n v="5"/>
    <n v="0"/>
  </r>
  <r>
    <x v="0"/>
    <x v="6"/>
    <x v="61"/>
    <n v="2"/>
    <n v="2"/>
    <n v="580.88"/>
    <n v="9.4345813529092173E-2"/>
    <n v="5"/>
    <n v="0"/>
  </r>
  <r>
    <x v="0"/>
    <x v="7"/>
    <x v="61"/>
    <n v="9"/>
    <n v="9"/>
    <n v="1324.98"/>
    <n v="0.13057406010101646"/>
    <n v="4.666666666666667"/>
    <n v="0"/>
  </r>
  <r>
    <x v="0"/>
    <x v="8"/>
    <x v="61"/>
    <n v="8"/>
    <n v="8"/>
    <n v="1136.9100000000001"/>
    <n v="0.13498569150756856"/>
    <n v="4.25"/>
    <n v="0.125"/>
  </r>
  <r>
    <x v="0"/>
    <x v="9"/>
    <x v="61"/>
    <n v="6"/>
    <n v="6"/>
    <n v="988.25"/>
    <n v="0.16062578340225736"/>
    <n v="4.833333333333333"/>
    <n v="0"/>
  </r>
  <r>
    <x v="0"/>
    <x v="10"/>
    <x v="61"/>
    <n v="6"/>
    <n v="5"/>
    <n v="863.82"/>
    <n v="0.11280581947871469"/>
    <n v="3.6666666666666665"/>
    <n v="0"/>
  </r>
  <r>
    <x v="0"/>
    <x v="11"/>
    <x v="61"/>
    <n v="4"/>
    <n v="4"/>
    <n v="735.96"/>
    <n v="9.5736960191492318E-2"/>
    <n v="4"/>
    <n v="0"/>
  </r>
  <r>
    <x v="1"/>
    <x v="12"/>
    <x v="61"/>
    <n v="17"/>
    <n v="16"/>
    <n v="1418.83"/>
    <n v="0.2405863684957868"/>
    <n v="4.8235294117647056"/>
    <n v="0"/>
  </r>
  <r>
    <x v="1"/>
    <x v="13"/>
    <x v="61"/>
    <n v="27"/>
    <n v="23"/>
    <n v="1807.78"/>
    <n v="0.25200956535109764"/>
    <n v="3.8076923076923075"/>
    <n v="8.6956521739130432E-2"/>
  </r>
  <r>
    <x v="1"/>
    <x v="14"/>
    <x v="61"/>
    <n v="17"/>
    <n v="17"/>
    <n v="1232.47"/>
    <n v="0.32923348157807797"/>
    <n v="4.1764705882352944"/>
    <n v="0.23529411764705882"/>
  </r>
  <r>
    <x v="1"/>
    <x v="15"/>
    <x v="61"/>
    <n v="23"/>
    <n v="23"/>
    <n v="1576.46"/>
    <n v="0.3007202601234667"/>
    <n v="4.4782608695652177"/>
    <n v="0"/>
  </r>
  <r>
    <x v="1"/>
    <x v="16"/>
    <x v="61"/>
    <n v="56"/>
    <n v="55"/>
    <n v="3923.58"/>
    <n v="0.23990422703032127"/>
    <n v="4.3454545454545457"/>
    <n v="0.16363636363636364"/>
  </r>
  <r>
    <x v="1"/>
    <x v="17"/>
    <x v="61"/>
    <n v="26"/>
    <n v="26"/>
    <n v="2184.59"/>
    <n v="0.26389452477497383"/>
    <n v="4.615384615384615"/>
    <n v="0"/>
  </r>
  <r>
    <x v="1"/>
    <x v="18"/>
    <x v="61"/>
    <n v="28"/>
    <n v="28"/>
    <n v="2605.41"/>
    <n v="0.21616628370673424"/>
    <n v="4.0384615384615383"/>
    <n v="0"/>
  </r>
  <r>
    <x v="1"/>
    <x v="19"/>
    <x v="61"/>
    <n v="29"/>
    <n v="28"/>
    <n v="1861.38"/>
    <n v="0.24632597963437394"/>
    <n v="4.7241379310344831"/>
    <n v="0.10714285714285714"/>
  </r>
  <r>
    <x v="0"/>
    <x v="1"/>
    <x v="62"/>
    <n v="1"/>
    <n v="1"/>
    <n v="114.9"/>
    <n v="0.13838120104438642"/>
    <n v="1"/>
    <n v="0"/>
  </r>
  <r>
    <x v="0"/>
    <x v="3"/>
    <x v="62"/>
    <n v="1"/>
    <n v="1"/>
    <n v="33.43"/>
    <n v="0.40203410110679033"/>
    <n v="1"/>
    <n v="1"/>
  </r>
  <r>
    <x v="0"/>
    <x v="5"/>
    <x v="62"/>
    <n v="2"/>
    <n v="1"/>
    <n v="129.19999999999999"/>
    <n v="0.23374613003095976"/>
    <n v="5"/>
    <n v="0"/>
  </r>
  <r>
    <x v="0"/>
    <x v="7"/>
    <x v="62"/>
    <n v="1"/>
    <n v="1"/>
    <n v="70.34"/>
    <n v="0.13278362240545921"/>
    <n v="5"/>
    <n v="0"/>
  </r>
  <r>
    <x v="0"/>
    <x v="8"/>
    <x v="62"/>
    <n v="4"/>
    <n v="3"/>
    <n v="327.56"/>
    <n v="0.10420065299313935"/>
    <n v="5"/>
    <n v="0"/>
  </r>
  <r>
    <x v="0"/>
    <x v="10"/>
    <x v="62"/>
    <n v="4"/>
    <n v="3"/>
    <n v="372.5"/>
    <n v="0.13097454534608075"/>
    <n v="5"/>
    <n v="0"/>
  </r>
  <r>
    <x v="0"/>
    <x v="11"/>
    <x v="62"/>
    <n v="3"/>
    <n v="3"/>
    <n v="271.06"/>
    <n v="0.14607473407367974"/>
    <n v="3.3333333333333335"/>
    <n v="0"/>
  </r>
  <r>
    <x v="1"/>
    <x v="12"/>
    <x v="62"/>
    <n v="6"/>
    <n v="6"/>
    <n v="648.66999999999996"/>
    <n v="0.10826544098953203"/>
    <n v="3.8333333333333335"/>
    <n v="0"/>
  </r>
  <r>
    <x v="1"/>
    <x v="13"/>
    <x v="62"/>
    <n v="3"/>
    <n v="3"/>
    <n v="351.54"/>
    <n v="8.1506260594135974E-2"/>
    <n v="4.333333333333333"/>
    <n v="0"/>
  </r>
  <r>
    <x v="1"/>
    <x v="14"/>
    <x v="62"/>
    <n v="3"/>
    <n v="2"/>
    <n v="284.69"/>
    <n v="9.1427070029758903E-2"/>
    <n v="5"/>
    <n v="0"/>
  </r>
  <r>
    <x v="1"/>
    <x v="15"/>
    <x v="62"/>
    <n v="4"/>
    <n v="4"/>
    <n v="352.37"/>
    <n v="0.13461505331757403"/>
    <n v="4.75"/>
    <n v="0"/>
  </r>
  <r>
    <x v="1"/>
    <x v="16"/>
    <x v="62"/>
    <n v="10"/>
    <n v="9"/>
    <n v="525.71"/>
    <n v="0.26621253422611446"/>
    <n v="4.9000000000000004"/>
    <n v="0"/>
  </r>
  <r>
    <x v="1"/>
    <x v="17"/>
    <x v="62"/>
    <n v="9"/>
    <n v="9"/>
    <n v="606.16"/>
    <n v="0.23322110558105141"/>
    <n v="5"/>
    <n v="0"/>
  </r>
  <r>
    <x v="1"/>
    <x v="18"/>
    <x v="62"/>
    <n v="8"/>
    <n v="6"/>
    <n v="516.61"/>
    <n v="0.23159411061722179"/>
    <n v="3.5"/>
    <n v="0.16666666666666666"/>
  </r>
  <r>
    <x v="1"/>
    <x v="19"/>
    <x v="62"/>
    <n v="1"/>
    <n v="1"/>
    <n v="804.96"/>
    <n v="6.9518982309679983E-2"/>
    <n v="5"/>
    <n v="0"/>
  </r>
  <r>
    <x v="0"/>
    <x v="0"/>
    <x v="63"/>
    <n v="2"/>
    <n v="2"/>
    <n v="271.55"/>
    <n v="0.1351436438121825"/>
    <n v="5"/>
    <n v="0"/>
  </r>
  <r>
    <x v="0"/>
    <x v="1"/>
    <x v="63"/>
    <n v="8"/>
    <n v="8"/>
    <n v="950.02"/>
    <n v="0.18740661670920022"/>
    <n v="4.375"/>
    <n v="0.125"/>
  </r>
  <r>
    <x v="0"/>
    <x v="2"/>
    <x v="63"/>
    <n v="25"/>
    <n v="20"/>
    <n v="3087.56"/>
    <n v="0.16985199091834502"/>
    <n v="4.24"/>
    <n v="0.05"/>
  </r>
  <r>
    <x v="0"/>
    <x v="3"/>
    <x v="63"/>
    <n v="12"/>
    <n v="12"/>
    <n v="1142.79"/>
    <n v="0.23103427232483678"/>
    <n v="4.666666666666667"/>
    <n v="0"/>
  </r>
  <r>
    <x v="0"/>
    <x v="4"/>
    <x v="63"/>
    <n v="20"/>
    <n v="19"/>
    <n v="2199.17"/>
    <n v="0.19456772329893654"/>
    <n v="4.45"/>
    <n v="0"/>
  </r>
  <r>
    <x v="0"/>
    <x v="5"/>
    <x v="63"/>
    <n v="21"/>
    <n v="20"/>
    <n v="2337.34"/>
    <n v="0.20831486915758116"/>
    <n v="4.5714285714285712"/>
    <n v="0"/>
  </r>
  <r>
    <x v="0"/>
    <x v="6"/>
    <x v="63"/>
    <n v="13"/>
    <n v="12"/>
    <n v="1545.28"/>
    <n v="0.18619449751181769"/>
    <n v="5"/>
    <n v="0"/>
  </r>
  <r>
    <x v="0"/>
    <x v="7"/>
    <x v="63"/>
    <n v="29"/>
    <n v="29"/>
    <n v="3714.78"/>
    <n v="0.19192490584405136"/>
    <n v="4.5"/>
    <n v="0"/>
  </r>
  <r>
    <x v="0"/>
    <x v="8"/>
    <x v="63"/>
    <n v="15"/>
    <n v="15"/>
    <n v="1199.5899999999999"/>
    <n v="0.25037051248838543"/>
    <n v="4"/>
    <n v="6.6666666666666666E-2"/>
  </r>
  <r>
    <x v="0"/>
    <x v="9"/>
    <x v="63"/>
    <n v="11"/>
    <n v="8"/>
    <n v="929.87"/>
    <n v="0.23473925803362192"/>
    <n v="4.7"/>
    <n v="0.25"/>
  </r>
  <r>
    <x v="0"/>
    <x v="10"/>
    <x v="63"/>
    <n v="38"/>
    <n v="38"/>
    <n v="3235.05"/>
    <n v="0.23645987076924468"/>
    <n v="4.1621621621621623"/>
    <n v="0.21052631578947367"/>
  </r>
  <r>
    <x v="0"/>
    <x v="11"/>
    <x v="63"/>
    <n v="42"/>
    <n v="38"/>
    <n v="3042.06"/>
    <n v="0.24808161517028965"/>
    <n v="4.4878048780487809"/>
    <n v="5.2631578947368418E-2"/>
  </r>
  <r>
    <x v="1"/>
    <x v="12"/>
    <x v="63"/>
    <n v="45"/>
    <n v="41"/>
    <n v="2825.37"/>
    <n v="0.25100791656262611"/>
    <n v="4.6888888888888891"/>
    <n v="2.4390243902439025E-2"/>
  </r>
  <r>
    <x v="1"/>
    <x v="13"/>
    <x v="63"/>
    <n v="29"/>
    <n v="29"/>
    <n v="2465.34"/>
    <n v="0.2461548330772651"/>
    <n v="4.3793103448275863"/>
    <n v="0.10344827586206896"/>
  </r>
  <r>
    <x v="1"/>
    <x v="14"/>
    <x v="63"/>
    <n v="39"/>
    <n v="34"/>
    <n v="2288.66"/>
    <n v="0.30183599534065253"/>
    <n v="4.4102564102564106"/>
    <n v="5.8823529411764705E-2"/>
  </r>
  <r>
    <x v="1"/>
    <x v="15"/>
    <x v="63"/>
    <n v="50"/>
    <n v="43"/>
    <n v="7209.15"/>
    <n v="0.238491729659881"/>
    <n v="4.4400000000000004"/>
    <n v="9.3023255813953487E-2"/>
  </r>
  <r>
    <x v="1"/>
    <x v="16"/>
    <x v="63"/>
    <n v="53"/>
    <n v="51"/>
    <n v="6932.51"/>
    <n v="0.26373342262778227"/>
    <n v="4.3396226415094343"/>
    <n v="1.9607843137254902E-2"/>
  </r>
  <r>
    <x v="1"/>
    <x v="17"/>
    <x v="63"/>
    <n v="39"/>
    <n v="33"/>
    <n v="3958.62"/>
    <n v="0.25194938908697107"/>
    <n v="4.6578947368421053"/>
    <n v="0"/>
  </r>
  <r>
    <x v="1"/>
    <x v="18"/>
    <x v="63"/>
    <n v="25"/>
    <n v="25"/>
    <n v="4496.16"/>
    <n v="0.20530311729205095"/>
    <n v="4.4400000000000004"/>
    <n v="0.08"/>
  </r>
  <r>
    <x v="1"/>
    <x v="19"/>
    <x v="63"/>
    <n v="36"/>
    <n v="34"/>
    <n v="2076.9899999999998"/>
    <n v="0.2621030121641364"/>
    <n v="4.25"/>
    <n v="0.14705882352941177"/>
  </r>
  <r>
    <x v="0"/>
    <x v="0"/>
    <x v="64"/>
    <n v="49"/>
    <n v="45"/>
    <n v="4944.7700000000004"/>
    <n v="0.1884914924536423"/>
    <n v="4.1162790697674421"/>
    <n v="4.4444444444444446E-2"/>
  </r>
  <r>
    <x v="0"/>
    <x v="1"/>
    <x v="64"/>
    <n v="169"/>
    <n v="146"/>
    <n v="20195.97"/>
    <n v="0.19284413525954314"/>
    <n v="4.1987951807228914"/>
    <n v="2.0547945205479451E-2"/>
  </r>
  <r>
    <x v="0"/>
    <x v="2"/>
    <x v="64"/>
    <n v="296"/>
    <n v="249"/>
    <n v="31432.42"/>
    <n v="0.2043958048736326"/>
    <n v="3.9507042253521125"/>
    <n v="5.2208835341365459E-2"/>
  </r>
  <r>
    <x v="0"/>
    <x v="3"/>
    <x v="64"/>
    <n v="277"/>
    <n v="234"/>
    <n v="29301.59"/>
    <n v="0.2129822302545776"/>
    <n v="3.9852398523985242"/>
    <n v="5.128205128205128E-2"/>
  </r>
  <r>
    <x v="0"/>
    <x v="4"/>
    <x v="64"/>
    <n v="373"/>
    <n v="329"/>
    <n v="40139.629999999997"/>
    <n v="0.19941187788134843"/>
    <n v="4.1309192200557101"/>
    <n v="4.8632218844984802E-2"/>
  </r>
  <r>
    <x v="0"/>
    <x v="5"/>
    <x v="64"/>
    <n v="392"/>
    <n v="335"/>
    <n v="42969"/>
    <n v="0.20011452351786607"/>
    <n v="4.0213333333333336"/>
    <n v="2.3880597014925373E-2"/>
  </r>
  <r>
    <x v="0"/>
    <x v="6"/>
    <x v="64"/>
    <n v="583"/>
    <n v="513"/>
    <n v="75096.17"/>
    <n v="0.17802097637664827"/>
    <n v="4.0765124555160144"/>
    <n v="1.1695906432748537E-2"/>
  </r>
  <r>
    <x v="0"/>
    <x v="7"/>
    <x v="64"/>
    <n v="522"/>
    <n v="448"/>
    <n v="67215"/>
    <n v="0.18133403909877829"/>
    <n v="4.0577689243027892"/>
    <n v="3.3482142857142856E-2"/>
  </r>
  <r>
    <x v="0"/>
    <x v="8"/>
    <x v="64"/>
    <n v="535"/>
    <n v="461"/>
    <n v="62377.599999999999"/>
    <n v="0.19183423618960166"/>
    <n v="4.019047619047619"/>
    <n v="3.6876355748373099E-2"/>
  </r>
  <r>
    <x v="0"/>
    <x v="9"/>
    <x v="64"/>
    <n v="547"/>
    <n v="445"/>
    <n v="55606.01"/>
    <n v="0.20702534097078812"/>
    <n v="3.8579439252336449"/>
    <n v="4.49438202247191E-2"/>
  </r>
  <r>
    <x v="0"/>
    <x v="10"/>
    <x v="64"/>
    <n v="982"/>
    <n v="817"/>
    <n v="107277.52"/>
    <n v="0.1920851079015766"/>
    <n v="3.5788923719958201"/>
    <n v="0.21787025703794369"/>
  </r>
  <r>
    <x v="0"/>
    <x v="11"/>
    <x v="64"/>
    <n v="557"/>
    <n v="481"/>
    <n v="60776.33"/>
    <n v="0.19047709559242076"/>
    <n v="3.8055045871559634"/>
    <n v="0.11226611226611227"/>
  </r>
  <r>
    <x v="1"/>
    <x v="12"/>
    <x v="64"/>
    <n v="852"/>
    <n v="699"/>
    <n v="91146.23"/>
    <n v="0.19780154933835495"/>
    <n v="3.8585017835909632"/>
    <n v="4.7210300429184553E-2"/>
  </r>
  <r>
    <x v="1"/>
    <x v="13"/>
    <x v="64"/>
    <n v="694"/>
    <n v="593"/>
    <n v="72235.33"/>
    <n v="0.19742223054749325"/>
    <n v="3.5578330893118593"/>
    <n v="0.21416526138279932"/>
  </r>
  <r>
    <x v="1"/>
    <x v="14"/>
    <x v="64"/>
    <n v="807"/>
    <n v="670"/>
    <n v="84934.34"/>
    <n v="0.21430918082138609"/>
    <n v="3.5941845764854614"/>
    <n v="0.22686567164179106"/>
  </r>
  <r>
    <x v="1"/>
    <x v="15"/>
    <x v="64"/>
    <n v="746"/>
    <n v="608"/>
    <n v="86731.4"/>
    <n v="0.20713513678543635"/>
    <n v="3.9441416893732968"/>
    <n v="5.7565789473684209E-2"/>
  </r>
  <r>
    <x v="1"/>
    <x v="16"/>
    <x v="64"/>
    <n v="747"/>
    <n v="606"/>
    <n v="85173.53"/>
    <n v="0.1941075297937731"/>
    <n v="3.9768707482993197"/>
    <n v="6.4356435643564358E-2"/>
  </r>
  <r>
    <x v="1"/>
    <x v="17"/>
    <x v="64"/>
    <n v="773"/>
    <n v="657"/>
    <n v="88024.74"/>
    <n v="0.22216190873418556"/>
    <n v="3.941022280471822"/>
    <n v="1.06544901065449E-2"/>
  </r>
  <r>
    <x v="1"/>
    <x v="18"/>
    <x v="64"/>
    <n v="626"/>
    <n v="518"/>
    <n v="69077.36"/>
    <n v="0.23505083218835995"/>
    <n v="4.2190016103059582"/>
    <n v="1.5444015444015444E-2"/>
  </r>
  <r>
    <x v="1"/>
    <x v="19"/>
    <x v="64"/>
    <n v="658"/>
    <n v="558"/>
    <n v="75207.83"/>
    <n v="0.22799509941729848"/>
    <n v="4.0779816513761471"/>
    <n v="5.5555555555555552E-2"/>
  </r>
  <r>
    <x v="0"/>
    <x v="0"/>
    <x v="65"/>
    <n v="41"/>
    <n v="32"/>
    <n v="7139.93"/>
    <n v="0.22361105978368637"/>
    <n v="4.625"/>
    <n v="3.125E-2"/>
  </r>
  <r>
    <x v="0"/>
    <x v="1"/>
    <x v="65"/>
    <n v="34"/>
    <n v="33"/>
    <n v="3714.29"/>
    <n v="0.25214263133429299"/>
    <n v="4.1515151515151514"/>
    <n v="3.0303030303030304E-2"/>
  </r>
  <r>
    <x v="0"/>
    <x v="2"/>
    <x v="65"/>
    <n v="44"/>
    <n v="43"/>
    <n v="4486.33"/>
    <n v="0.2190431378128605"/>
    <n v="4.25"/>
    <n v="4.6511627906976744E-2"/>
  </r>
  <r>
    <x v="0"/>
    <x v="3"/>
    <x v="65"/>
    <n v="51"/>
    <n v="48"/>
    <n v="4862.8500000000004"/>
    <n v="0.22076178640007374"/>
    <n v="3.7450980392156863"/>
    <n v="0.10416666666666667"/>
  </r>
  <r>
    <x v="0"/>
    <x v="4"/>
    <x v="65"/>
    <n v="108"/>
    <n v="102"/>
    <n v="11727.82"/>
    <n v="0.21554932097693885"/>
    <n v="4.132075471698113"/>
    <n v="1.9607843137254902E-2"/>
  </r>
  <r>
    <x v="0"/>
    <x v="5"/>
    <x v="65"/>
    <n v="78"/>
    <n v="72"/>
    <n v="9258.0499999999993"/>
    <n v="0.19140444878177876"/>
    <n v="3.6103896103896105"/>
    <n v="9.7222222222222224E-2"/>
  </r>
  <r>
    <x v="0"/>
    <x v="6"/>
    <x v="65"/>
    <n v="129"/>
    <n v="124"/>
    <n v="18502.490000000002"/>
    <n v="0.17842762096989581"/>
    <n v="4.387596899224806"/>
    <n v="0"/>
  </r>
  <r>
    <x v="0"/>
    <x v="7"/>
    <x v="65"/>
    <n v="133"/>
    <n v="125"/>
    <n v="23226.48"/>
    <n v="0.20208000535888365"/>
    <n v="4.2406015037593985"/>
    <n v="8.0000000000000002E-3"/>
  </r>
  <r>
    <x v="0"/>
    <x v="8"/>
    <x v="65"/>
    <n v="174"/>
    <n v="165"/>
    <n v="28197"/>
    <n v="0.20428352854837706"/>
    <n v="4.0639534883720927"/>
    <n v="4.8484848484848485E-2"/>
  </r>
  <r>
    <x v="0"/>
    <x v="9"/>
    <x v="65"/>
    <n v="138"/>
    <n v="134"/>
    <n v="19625.73"/>
    <n v="0.19864941971864183"/>
    <n v="4.3481481481481481"/>
    <n v="7.4626865671641784E-2"/>
  </r>
  <r>
    <x v="0"/>
    <x v="10"/>
    <x v="65"/>
    <n v="203"/>
    <n v="190"/>
    <n v="25820.880000000001"/>
    <n v="0.20362594208305129"/>
    <n v="3.7326732673267329"/>
    <n v="0.1736842105263158"/>
  </r>
  <r>
    <x v="0"/>
    <x v="11"/>
    <x v="65"/>
    <n v="143"/>
    <n v="139"/>
    <n v="22762.46"/>
    <n v="0.18099215706367267"/>
    <n v="3.7769784172661871"/>
    <n v="0.1366906474820144"/>
  </r>
  <r>
    <x v="1"/>
    <x v="12"/>
    <x v="65"/>
    <n v="223"/>
    <n v="212"/>
    <n v="34819.06"/>
    <n v="0.1888222998053673"/>
    <n v="3.7692307692307692"/>
    <n v="0.11320754716981132"/>
  </r>
  <r>
    <x v="1"/>
    <x v="13"/>
    <x v="65"/>
    <n v="176"/>
    <n v="169"/>
    <n v="29562.67"/>
    <n v="0.20235231985599292"/>
    <n v="3.7109826589595376"/>
    <n v="0.17159763313609466"/>
  </r>
  <r>
    <x v="1"/>
    <x v="14"/>
    <x v="65"/>
    <n v="226"/>
    <n v="217"/>
    <n v="47257.760000000002"/>
    <n v="0.20968788734406624"/>
    <n v="3.6026785714285716"/>
    <n v="0.16589861751152074"/>
  </r>
  <r>
    <x v="1"/>
    <x v="15"/>
    <x v="65"/>
    <n v="244"/>
    <n v="222"/>
    <n v="56814.41"/>
    <n v="0.19306617285746797"/>
    <n v="3.9670781893004117"/>
    <n v="5.4054054054054057E-2"/>
  </r>
  <r>
    <x v="1"/>
    <x v="16"/>
    <x v="65"/>
    <n v="245"/>
    <n v="224"/>
    <n v="39504.839999999997"/>
    <n v="0.2067953129679071"/>
    <n v="4.1275720164609053"/>
    <n v="4.4642857142857144E-2"/>
  </r>
  <r>
    <x v="1"/>
    <x v="17"/>
    <x v="65"/>
    <n v="225"/>
    <n v="207"/>
    <n v="37038.15"/>
    <n v="0.21170427579716358"/>
    <n v="4.188340807174888"/>
    <n v="4.830917874396135E-3"/>
  </r>
  <r>
    <x v="1"/>
    <x v="18"/>
    <x v="65"/>
    <n v="222"/>
    <n v="210"/>
    <n v="27378.18"/>
    <n v="0.24681595652474411"/>
    <n v="4.2772727272727273"/>
    <n v="5.2380952380952382E-2"/>
  </r>
  <r>
    <x v="1"/>
    <x v="19"/>
    <x v="65"/>
    <n v="217"/>
    <n v="206"/>
    <n v="26771.31"/>
    <n v="0.21585158773695337"/>
    <n v="4.1851851851851851"/>
    <n v="8.2524271844660199E-2"/>
  </r>
  <r>
    <x v="0"/>
    <x v="0"/>
    <x v="66"/>
    <n v="34"/>
    <n v="30"/>
    <n v="5844.21"/>
    <n v="0.17700580211585193"/>
    <n v="3.5294117647058822"/>
    <n v="0"/>
  </r>
  <r>
    <x v="0"/>
    <x v="1"/>
    <x v="66"/>
    <n v="87"/>
    <n v="77"/>
    <n v="15241.53"/>
    <n v="0.21112265381650674"/>
    <n v="4.2558139534883717"/>
    <n v="6.4935064935064929E-2"/>
  </r>
  <r>
    <x v="0"/>
    <x v="2"/>
    <x v="66"/>
    <n v="87"/>
    <n v="76"/>
    <n v="16755.73"/>
    <n v="0.1925792625232346"/>
    <n v="4.0804597701149428"/>
    <n v="0.10526315789473684"/>
  </r>
  <r>
    <x v="0"/>
    <x v="3"/>
    <x v="66"/>
    <n v="88"/>
    <n v="81"/>
    <n v="17799.93"/>
    <n v="0.18485717870284782"/>
    <n v="3.8522727272727275"/>
    <n v="7.407407407407407E-2"/>
  </r>
  <r>
    <x v="0"/>
    <x v="4"/>
    <x v="66"/>
    <n v="125"/>
    <n v="106"/>
    <n v="21631.7"/>
    <n v="0.21392115135495857"/>
    <n v="4.008064516129032"/>
    <n v="4.716981132075472E-2"/>
  </r>
  <r>
    <x v="0"/>
    <x v="5"/>
    <x v="66"/>
    <n v="112"/>
    <n v="103"/>
    <n v="33693.74"/>
    <n v="0.17965016659855798"/>
    <n v="3.9454545454545453"/>
    <n v="8.7378640776699032E-2"/>
  </r>
  <r>
    <x v="0"/>
    <x v="6"/>
    <x v="66"/>
    <n v="117"/>
    <n v="106"/>
    <n v="16490.82"/>
    <n v="0.24101784988868508"/>
    <n v="4.1293103448275863"/>
    <n v="4.716981132075472E-2"/>
  </r>
  <r>
    <x v="0"/>
    <x v="7"/>
    <x v="66"/>
    <n v="166"/>
    <n v="133"/>
    <n v="23881.54"/>
    <n v="0.20386714326865332"/>
    <n v="4.2054794520547949"/>
    <n v="1.5037593984962405E-2"/>
  </r>
  <r>
    <x v="0"/>
    <x v="8"/>
    <x v="66"/>
    <n v="108"/>
    <n v="97"/>
    <n v="16931.46"/>
    <n v="0.20345801138043668"/>
    <n v="4.0566037735849054"/>
    <n v="8.247422680412371E-2"/>
  </r>
  <r>
    <x v="0"/>
    <x v="9"/>
    <x v="66"/>
    <n v="150"/>
    <n v="132"/>
    <n v="24947.95"/>
    <n v="0.20526617717417178"/>
    <n v="4.0599999999999996"/>
    <n v="1.5151515151515152E-2"/>
  </r>
  <r>
    <x v="0"/>
    <x v="10"/>
    <x v="66"/>
    <n v="264"/>
    <n v="245"/>
    <n v="40635.050000000003"/>
    <n v="0.21374958993518006"/>
    <n v="3.946360153256705"/>
    <n v="0.12244897959183673"/>
  </r>
  <r>
    <x v="0"/>
    <x v="11"/>
    <x v="66"/>
    <n v="268"/>
    <n v="243"/>
    <n v="45123.01"/>
    <n v="0.19677836841188351"/>
    <n v="3.9384615384615387"/>
    <n v="8.6419753086419748E-2"/>
  </r>
  <r>
    <x v="1"/>
    <x v="12"/>
    <x v="66"/>
    <n v="268"/>
    <n v="244"/>
    <n v="41296.53"/>
    <n v="0.18986499584873714"/>
    <n v="4.0601503759398492"/>
    <n v="6.9672131147540978E-2"/>
  </r>
  <r>
    <x v="1"/>
    <x v="13"/>
    <x v="66"/>
    <n v="321"/>
    <n v="303"/>
    <n v="48314.92"/>
    <n v="0.21248625579820815"/>
    <n v="3.8980891719745223"/>
    <n v="0.10891089108910891"/>
  </r>
  <r>
    <x v="1"/>
    <x v="14"/>
    <x v="66"/>
    <n v="344"/>
    <n v="325"/>
    <n v="52812.75"/>
    <n v="0.21554424064198383"/>
    <n v="3.8112094395280236"/>
    <n v="0.19384615384615383"/>
  </r>
  <r>
    <x v="1"/>
    <x v="15"/>
    <x v="66"/>
    <n v="356"/>
    <n v="336"/>
    <n v="57072.56"/>
    <n v="0.21047778982890647"/>
    <n v="4.1011235955056176"/>
    <n v="5.0595238095238096E-2"/>
  </r>
  <r>
    <x v="1"/>
    <x v="16"/>
    <x v="66"/>
    <n v="311"/>
    <n v="298"/>
    <n v="48221.05"/>
    <n v="0.21764335215682606"/>
    <n v="4.141479099678457"/>
    <n v="8.3892617449664433E-2"/>
  </r>
  <r>
    <x v="1"/>
    <x v="17"/>
    <x v="66"/>
    <n v="300"/>
    <n v="272"/>
    <n v="52446.51"/>
    <n v="0.24538359904105211"/>
    <n v="4.1103678929765888"/>
    <n v="2.2058823529411766E-2"/>
  </r>
  <r>
    <x v="1"/>
    <x v="18"/>
    <x v="66"/>
    <n v="344"/>
    <n v="327"/>
    <n v="51187.78"/>
    <n v="0.23161977301942011"/>
    <n v="4.3935860058309038"/>
    <n v="2.4464831804281346E-2"/>
  </r>
  <r>
    <x v="1"/>
    <x v="19"/>
    <x v="66"/>
    <n v="377"/>
    <n v="352"/>
    <n v="53075.08"/>
    <n v="0.24088705858890874"/>
    <n v="4.2560000000000002"/>
    <n v="5.9659090909090912E-2"/>
  </r>
  <r>
    <x v="0"/>
    <x v="1"/>
    <x v="67"/>
    <n v="5"/>
    <n v="5"/>
    <n v="247.85"/>
    <n v="0.3548994294511616"/>
    <n v="3.4"/>
    <n v="0"/>
  </r>
  <r>
    <x v="0"/>
    <x v="2"/>
    <x v="67"/>
    <n v="14"/>
    <n v="13"/>
    <n v="1367.4"/>
    <n v="0.19030637476059709"/>
    <n v="3.8571428571428572"/>
    <n v="7.6923076923076927E-2"/>
  </r>
  <r>
    <x v="0"/>
    <x v="3"/>
    <x v="67"/>
    <n v="11"/>
    <n v="9"/>
    <n v="1103.95"/>
    <n v="0.15233973518931895"/>
    <n v="3.5454545454545454"/>
    <n v="0.1111111111111111"/>
  </r>
  <r>
    <x v="0"/>
    <x v="4"/>
    <x v="67"/>
    <n v="17"/>
    <n v="17"/>
    <n v="2333.19"/>
    <n v="0.12103160251198852"/>
    <n v="4.1764705882352944"/>
    <n v="5.8823529411764705E-2"/>
  </r>
  <r>
    <x v="0"/>
    <x v="5"/>
    <x v="67"/>
    <n v="11"/>
    <n v="11"/>
    <n v="1818.24"/>
    <n v="9.8484497972805521E-2"/>
    <n v="3.9090909090909092"/>
    <n v="9.0909090909090912E-2"/>
  </r>
  <r>
    <x v="0"/>
    <x v="6"/>
    <x v="67"/>
    <n v="7"/>
    <n v="7"/>
    <n v="883.23"/>
    <n v="0.15767970340689835"/>
    <n v="4.166666666666667"/>
    <n v="0.14285714285714285"/>
  </r>
  <r>
    <x v="0"/>
    <x v="7"/>
    <x v="67"/>
    <n v="7"/>
    <n v="7"/>
    <n v="1146.44"/>
    <n v="0.13575569344676175"/>
    <n v="3.8571428571428572"/>
    <n v="0"/>
  </r>
  <r>
    <x v="0"/>
    <x v="8"/>
    <x v="67"/>
    <n v="10"/>
    <n v="10"/>
    <n v="1191.79"/>
    <n v="0.14430220195000171"/>
    <n v="4.0999999999999996"/>
    <n v="0.3"/>
  </r>
  <r>
    <x v="0"/>
    <x v="9"/>
    <x v="67"/>
    <n v="32"/>
    <n v="32"/>
    <n v="2728.73"/>
    <n v="0.20070070540529186"/>
    <n v="3.5161290322580645"/>
    <n v="9.375E-2"/>
  </r>
  <r>
    <x v="0"/>
    <x v="10"/>
    <x v="67"/>
    <n v="36"/>
    <n v="33"/>
    <n v="4195.1400000000003"/>
    <n v="0.22570244901715544"/>
    <n v="3.5555555555555558"/>
    <n v="0.18181818181818182"/>
  </r>
  <r>
    <x v="0"/>
    <x v="11"/>
    <x v="67"/>
    <n v="17"/>
    <n v="17"/>
    <n v="2941.12"/>
    <n v="0.18351359073608095"/>
    <n v="4.1764705882352944"/>
    <n v="0.11764705882352941"/>
  </r>
  <r>
    <x v="1"/>
    <x v="12"/>
    <x v="67"/>
    <n v="26"/>
    <n v="25"/>
    <n v="4233.3900000000003"/>
    <n v="0.19036707084595239"/>
    <n v="4.115384615384615"/>
    <n v="0"/>
  </r>
  <r>
    <x v="1"/>
    <x v="13"/>
    <x v="67"/>
    <n v="15"/>
    <n v="15"/>
    <n v="3038.58"/>
    <n v="0.15118448510942573"/>
    <n v="3.2666666666666666"/>
    <n v="0.33333333333333331"/>
  </r>
  <r>
    <x v="1"/>
    <x v="14"/>
    <x v="67"/>
    <n v="34"/>
    <n v="33"/>
    <n v="11264.37"/>
    <n v="0.13225419349258202"/>
    <n v="2.9411764705882355"/>
    <n v="0.42424242424242425"/>
  </r>
  <r>
    <x v="1"/>
    <x v="15"/>
    <x v="67"/>
    <n v="31"/>
    <n v="30"/>
    <n v="7571.46"/>
    <n v="0.18976459702160886"/>
    <n v="4.096774193548387"/>
    <n v="0"/>
  </r>
  <r>
    <x v="1"/>
    <x v="16"/>
    <x v="67"/>
    <n v="21"/>
    <n v="20"/>
    <n v="3044.54"/>
    <n v="0.27202976352083241"/>
    <n v="3.7619047619047619"/>
    <n v="0.2"/>
  </r>
  <r>
    <x v="1"/>
    <x v="17"/>
    <x v="67"/>
    <n v="20"/>
    <n v="19"/>
    <n v="2228.39"/>
    <n v="0.36693983396657226"/>
    <n v="4.2222222222222223"/>
    <n v="0"/>
  </r>
  <r>
    <x v="1"/>
    <x v="18"/>
    <x v="67"/>
    <n v="22"/>
    <n v="21"/>
    <n v="2409"/>
    <n v="0.29042445546640583"/>
    <n v="4.4090909090909092"/>
    <n v="0"/>
  </r>
  <r>
    <x v="1"/>
    <x v="19"/>
    <x v="67"/>
    <n v="26"/>
    <n v="24"/>
    <n v="2469.1"/>
    <n v="0.30043379373693768"/>
    <n v="4.2307692307692308"/>
    <n v="0"/>
  </r>
  <r>
    <x v="0"/>
    <x v="4"/>
    <x v="68"/>
    <n v="1"/>
    <n v="1"/>
    <n v="29.66"/>
    <n v="0.25859743762643289"/>
    <n v="5"/>
    <n v="0"/>
  </r>
  <r>
    <x v="0"/>
    <x v="6"/>
    <x v="68"/>
    <n v="1"/>
    <n v="1"/>
    <n v="145.56"/>
    <n v="0.10758450123660346"/>
    <n v="5"/>
    <n v="0"/>
  </r>
  <r>
    <x v="1"/>
    <x v="15"/>
    <x v="68"/>
    <n v="1"/>
    <n v="1"/>
    <n v="34.22"/>
    <n v="0.53272939801285801"/>
    <n v="4"/>
    <n v="0"/>
  </r>
  <r>
    <x v="1"/>
    <x v="16"/>
    <x v="68"/>
    <n v="1"/>
    <n v="1"/>
    <n v="101.05"/>
    <n v="0.11133102424542306"/>
    <n v="4"/>
    <n v="0"/>
  </r>
  <r>
    <x v="1"/>
    <x v="18"/>
    <x v="68"/>
    <n v="11"/>
    <n v="10"/>
    <n v="804.6"/>
    <n v="0.25051008007000375"/>
    <n v="3.6363636363636362"/>
    <n v="0.1"/>
  </r>
  <r>
    <x v="1"/>
    <x v="19"/>
    <x v="68"/>
    <n v="9"/>
    <n v="9"/>
    <n v="1069.05"/>
    <n v="0.22616695910462117"/>
    <n v="4.5555555555555554"/>
    <n v="0"/>
  </r>
  <r>
    <x v="0"/>
    <x v="2"/>
    <x v="69"/>
    <n v="5"/>
    <n v="5"/>
    <n v="320.83999999999997"/>
    <n v="0.37916192241434421"/>
    <n v="4"/>
    <n v="0"/>
  </r>
  <r>
    <x v="0"/>
    <x v="3"/>
    <x v="69"/>
    <n v="1"/>
    <n v="1"/>
    <n v="147.16999999999999"/>
    <n v="0.18529591628728681"/>
    <n v="4"/>
    <n v="0"/>
  </r>
  <r>
    <x v="0"/>
    <x v="4"/>
    <x v="69"/>
    <n v="8"/>
    <n v="8"/>
    <n v="7365.95"/>
    <n v="0.30070807191755117"/>
    <n v="4.4285714285714288"/>
    <n v="0"/>
  </r>
  <r>
    <x v="0"/>
    <x v="5"/>
    <x v="69"/>
    <n v="10"/>
    <n v="5"/>
    <n v="631.79"/>
    <n v="0.34964393343673345"/>
    <n v="2.3333333333333335"/>
    <n v="0"/>
  </r>
  <r>
    <x v="0"/>
    <x v="6"/>
    <x v="69"/>
    <n v="3"/>
    <n v="3"/>
    <n v="424.9"/>
    <n v="0.14640910332141222"/>
    <n v="4.333333333333333"/>
    <n v="0"/>
  </r>
  <r>
    <x v="0"/>
    <x v="7"/>
    <x v="69"/>
    <n v="4"/>
    <n v="4"/>
    <n v="317.06"/>
    <n v="0.24934143816815316"/>
    <n v="4.25"/>
    <n v="0"/>
  </r>
  <r>
    <x v="0"/>
    <x v="8"/>
    <x v="69"/>
    <n v="3"/>
    <n v="3"/>
    <n v="435.85"/>
    <n v="0.18361197044901378"/>
    <n v="3.3333333333333335"/>
    <n v="0"/>
  </r>
  <r>
    <x v="0"/>
    <x v="9"/>
    <x v="69"/>
    <n v="3"/>
    <n v="3"/>
    <n v="400.45"/>
    <n v="0.16149419965855386"/>
    <n v="4.666666666666667"/>
    <n v="0"/>
  </r>
  <r>
    <x v="0"/>
    <x v="10"/>
    <x v="69"/>
    <n v="1"/>
    <n v="1"/>
    <n v="92.78"/>
    <n v="0.19163612847596465"/>
    <n v="5"/>
    <n v="0"/>
  </r>
  <r>
    <x v="0"/>
    <x v="11"/>
    <x v="69"/>
    <n v="3"/>
    <n v="3"/>
    <n v="163.38999999999999"/>
    <n v="0.39356229166548562"/>
    <n v="5"/>
    <n v="0"/>
  </r>
  <r>
    <x v="1"/>
    <x v="12"/>
    <x v="69"/>
    <n v="19"/>
    <n v="19"/>
    <n v="2864.21"/>
    <n v="0.12163082523585304"/>
    <n v="3.4736842105263159"/>
    <n v="5.2631578947368418E-2"/>
  </r>
  <r>
    <x v="1"/>
    <x v="13"/>
    <x v="69"/>
    <n v="13"/>
    <n v="12"/>
    <n v="1560.83"/>
    <n v="0.20137199721751861"/>
    <n v="3.6923076923076925"/>
    <n v="0"/>
  </r>
  <r>
    <x v="1"/>
    <x v="14"/>
    <x v="69"/>
    <n v="7"/>
    <n v="7"/>
    <n v="581.66"/>
    <n v="0.27216506819282255"/>
    <n v="3.5714285714285716"/>
    <n v="0.14285714285714285"/>
  </r>
  <r>
    <x v="1"/>
    <x v="15"/>
    <x v="69"/>
    <n v="26"/>
    <n v="26"/>
    <n v="2623.04"/>
    <n v="0.19985284148636592"/>
    <n v="4.5"/>
    <n v="0"/>
  </r>
  <r>
    <x v="1"/>
    <x v="16"/>
    <x v="69"/>
    <n v="36"/>
    <n v="35"/>
    <n v="3257.08"/>
    <n v="0.19264201557564992"/>
    <n v="3.8333333333333335"/>
    <n v="0.14285714285714285"/>
  </r>
  <r>
    <x v="1"/>
    <x v="17"/>
    <x v="69"/>
    <n v="28"/>
    <n v="28"/>
    <n v="3019.18"/>
    <n v="0.17980095598707607"/>
    <n v="4.2857142857142856"/>
    <n v="0"/>
  </r>
  <r>
    <x v="1"/>
    <x v="18"/>
    <x v="69"/>
    <n v="21"/>
    <n v="21"/>
    <n v="2265.73"/>
    <n v="0.1876356070852899"/>
    <n v="3.8095238095238093"/>
    <n v="4.7619047619047616E-2"/>
  </r>
  <r>
    <x v="1"/>
    <x v="19"/>
    <x v="69"/>
    <n v="18"/>
    <n v="18"/>
    <n v="1775.9"/>
    <n v="0.17043123346714228"/>
    <n v="4.1111111111111107"/>
    <n v="0.22222222222222221"/>
  </r>
  <r>
    <x v="0"/>
    <x v="0"/>
    <x v="70"/>
    <n v="4"/>
    <n v="3"/>
    <n v="738.36"/>
    <n v="0.1021789029695892"/>
    <n v="3.5"/>
    <n v="0"/>
  </r>
  <r>
    <x v="0"/>
    <x v="1"/>
    <x v="70"/>
    <n v="12"/>
    <n v="12"/>
    <n v="3439.71"/>
    <n v="0.11651892408021901"/>
    <n v="2.7272727272727275"/>
    <n v="0"/>
  </r>
  <r>
    <x v="0"/>
    <x v="2"/>
    <x v="70"/>
    <n v="17"/>
    <n v="16"/>
    <n v="4390.5600000000004"/>
    <n v="0.14875468320991933"/>
    <n v="4.4117647058823533"/>
    <n v="0"/>
  </r>
  <r>
    <x v="0"/>
    <x v="3"/>
    <x v="70"/>
    <n v="16"/>
    <n v="14"/>
    <n v="2873.57"/>
    <n v="0.16285781590762022"/>
    <n v="4.5"/>
    <n v="0"/>
  </r>
  <r>
    <x v="0"/>
    <x v="4"/>
    <x v="70"/>
    <n v="8"/>
    <n v="7"/>
    <n v="1186.69"/>
    <n v="0.18528289983185353"/>
    <n v="4.25"/>
    <n v="0"/>
  </r>
  <r>
    <x v="0"/>
    <x v="5"/>
    <x v="70"/>
    <n v="11"/>
    <n v="9"/>
    <n v="2288.52"/>
    <n v="0.16442842060675089"/>
    <n v="4.0909090909090908"/>
    <n v="0"/>
  </r>
  <r>
    <x v="0"/>
    <x v="6"/>
    <x v="70"/>
    <n v="5"/>
    <n v="5"/>
    <n v="1493.13"/>
    <n v="0.17627112998059088"/>
    <n v="3.4"/>
    <n v="0"/>
  </r>
  <r>
    <x v="0"/>
    <x v="7"/>
    <x v="70"/>
    <n v="15"/>
    <n v="12"/>
    <n v="4563.49"/>
    <n v="9.8606903197054785E-2"/>
    <n v="4.6428571428571432"/>
    <n v="8.3333333333333329E-2"/>
  </r>
  <r>
    <x v="0"/>
    <x v="8"/>
    <x v="70"/>
    <n v="8"/>
    <n v="8"/>
    <n v="1900.33"/>
    <n v="0.11657360870397934"/>
    <n v="4"/>
    <n v="0"/>
  </r>
  <r>
    <x v="0"/>
    <x v="9"/>
    <x v="70"/>
    <n v="12"/>
    <n v="9"/>
    <n v="2869.9"/>
    <n v="0.1210796172419429"/>
    <n v="3.9166666666666665"/>
    <n v="0"/>
  </r>
  <r>
    <x v="0"/>
    <x v="10"/>
    <x v="70"/>
    <n v="19"/>
    <n v="16"/>
    <n v="4513.5600000000004"/>
    <n v="0.12186053621322862"/>
    <n v="3.9444444444444442"/>
    <n v="0.1875"/>
  </r>
  <r>
    <x v="0"/>
    <x v="11"/>
    <x v="70"/>
    <n v="3"/>
    <n v="3"/>
    <n v="722.34"/>
    <n v="7.87384920851215E-2"/>
    <n v="4.333333333333333"/>
    <n v="0"/>
  </r>
  <r>
    <x v="1"/>
    <x v="12"/>
    <x v="70"/>
    <n v="29"/>
    <n v="22"/>
    <n v="5177.5200000000004"/>
    <n v="0.17615302077714826"/>
    <n v="3.9642857142857144"/>
    <n v="0.13636363636363635"/>
  </r>
  <r>
    <x v="1"/>
    <x v="13"/>
    <x v="70"/>
    <n v="12"/>
    <n v="11"/>
    <n v="2892.67"/>
    <n v="0.14064105493865645"/>
    <n v="4.333333333333333"/>
    <n v="9.0909090909090912E-2"/>
  </r>
  <r>
    <x v="1"/>
    <x v="14"/>
    <x v="70"/>
    <n v="25"/>
    <n v="24"/>
    <n v="3208.87"/>
    <n v="0.22172237464280053"/>
    <n v="3.6"/>
    <n v="0.125"/>
  </r>
  <r>
    <x v="1"/>
    <x v="15"/>
    <x v="70"/>
    <n v="23"/>
    <n v="22"/>
    <n v="3921.12"/>
    <n v="0.20163821102835874"/>
    <n v="4.5714285714285712"/>
    <n v="0"/>
  </r>
  <r>
    <x v="1"/>
    <x v="16"/>
    <x v="70"/>
    <n v="15"/>
    <n v="14"/>
    <n v="2450.73"/>
    <n v="0.1716974109626081"/>
    <n v="4.0666666666666664"/>
    <n v="0"/>
  </r>
  <r>
    <x v="1"/>
    <x v="17"/>
    <x v="70"/>
    <n v="15"/>
    <n v="9"/>
    <n v="4092.94"/>
    <n v="0.21120114425541217"/>
    <n v="2.7333333333333334"/>
    <n v="0"/>
  </r>
  <r>
    <x v="1"/>
    <x v="18"/>
    <x v="70"/>
    <n v="17"/>
    <n v="15"/>
    <n v="3137.45"/>
    <n v="0.16540446883965421"/>
    <n v="4.117647058823529"/>
    <n v="0"/>
  </r>
  <r>
    <x v="1"/>
    <x v="19"/>
    <x v="70"/>
    <n v="21"/>
    <n v="17"/>
    <n v="4007.82"/>
    <n v="0.14242952278901611"/>
    <n v="3.8095238095238093"/>
    <n v="0"/>
  </r>
  <r>
    <x v="0"/>
    <x v="0"/>
    <x v="71"/>
    <n v="3"/>
    <n v="2"/>
    <n v="107.76"/>
    <n v="0.36445238547302394"/>
    <n v="4.333333333333333"/>
    <n v="0"/>
  </r>
  <r>
    <x v="0"/>
    <x v="1"/>
    <x v="71"/>
    <n v="7"/>
    <n v="7"/>
    <n v="331.1"/>
    <n v="0.35950223259091268"/>
    <n v="3.8571428571428572"/>
    <n v="0"/>
  </r>
  <r>
    <x v="0"/>
    <x v="2"/>
    <x v="71"/>
    <n v="2"/>
    <n v="2"/>
    <n v="110.69"/>
    <n v="0.2943863901067395"/>
    <n v="2"/>
    <n v="0"/>
  </r>
  <r>
    <x v="0"/>
    <x v="4"/>
    <x v="71"/>
    <n v="4"/>
    <n v="4"/>
    <n v="1763.74"/>
    <n v="0.14250193364846811"/>
    <n v="4.75"/>
    <n v="0"/>
  </r>
  <r>
    <x v="0"/>
    <x v="5"/>
    <x v="71"/>
    <n v="1"/>
    <n v="1"/>
    <n v="1422.05"/>
    <n v="2.2537885447065857E-2"/>
    <n v="1"/>
    <n v="0"/>
  </r>
  <r>
    <x v="0"/>
    <x v="6"/>
    <x v="71"/>
    <n v="1"/>
    <n v="1"/>
    <n v="1199.47"/>
    <n v="1.6232169208066895E-2"/>
    <n v="5"/>
    <n v="0"/>
  </r>
  <r>
    <x v="0"/>
    <x v="7"/>
    <x v="71"/>
    <n v="4"/>
    <n v="1"/>
    <n v="224.6"/>
    <n v="0.60819234194122884"/>
    <n v="5"/>
    <n v="0"/>
  </r>
  <r>
    <x v="0"/>
    <x v="8"/>
    <x v="71"/>
    <n v="4"/>
    <n v="3"/>
    <n v="2119.69"/>
    <n v="5.8169566762401113E-2"/>
    <n v="3.25"/>
    <n v="0"/>
  </r>
  <r>
    <x v="0"/>
    <x v="9"/>
    <x v="71"/>
    <n v="5"/>
    <n v="5"/>
    <n v="3558.43"/>
    <n v="0.20451136329462558"/>
    <n v="4.2"/>
    <n v="0"/>
  </r>
  <r>
    <x v="0"/>
    <x v="10"/>
    <x v="71"/>
    <n v="19"/>
    <n v="13"/>
    <n v="14610.32"/>
    <n v="5.6129378011759407E-2"/>
    <n v="2.7894736842105261"/>
    <n v="0.15384615384615385"/>
  </r>
  <r>
    <x v="0"/>
    <x v="11"/>
    <x v="71"/>
    <n v="11"/>
    <n v="9"/>
    <n v="5664.04"/>
    <n v="7.7317538205142963E-2"/>
    <n v="4.6363636363636367"/>
    <n v="0"/>
  </r>
  <r>
    <x v="1"/>
    <x v="12"/>
    <x v="71"/>
    <n v="18"/>
    <n v="15"/>
    <n v="6296.51"/>
    <n v="0.18349076431225186"/>
    <n v="4.5"/>
    <n v="0"/>
  </r>
  <r>
    <x v="1"/>
    <x v="13"/>
    <x v="71"/>
    <n v="27"/>
    <n v="21"/>
    <n v="8059.63"/>
    <n v="0.19992488262981342"/>
    <n v="4.1851851851851851"/>
    <n v="0.14285714285714285"/>
  </r>
  <r>
    <x v="1"/>
    <x v="14"/>
    <x v="71"/>
    <n v="28"/>
    <n v="25"/>
    <n v="6567.09"/>
    <n v="0.18878032640791828"/>
    <n v="4.0714285714285712"/>
    <n v="0"/>
  </r>
  <r>
    <x v="1"/>
    <x v="15"/>
    <x v="71"/>
    <n v="12"/>
    <n v="12"/>
    <n v="4783.66"/>
    <n v="0.10097931934980658"/>
    <n v="4"/>
    <n v="8.3333333333333329E-2"/>
  </r>
  <r>
    <x v="1"/>
    <x v="16"/>
    <x v="71"/>
    <n v="8"/>
    <n v="8"/>
    <n v="3433.22"/>
    <n v="6.9622218413199863E-2"/>
    <n v="4.5"/>
    <n v="0.125"/>
  </r>
  <r>
    <x v="1"/>
    <x v="17"/>
    <x v="71"/>
    <n v="10"/>
    <n v="10"/>
    <n v="3843.05"/>
    <n v="0.15763941730534087"/>
    <n v="4.2"/>
    <n v="0"/>
  </r>
  <r>
    <x v="1"/>
    <x v="18"/>
    <x v="71"/>
    <n v="30"/>
    <n v="29"/>
    <n v="8735.2800000000007"/>
    <n v="0.18254669069176468"/>
    <n v="3.9666666666666668"/>
    <n v="0"/>
  </r>
  <r>
    <x v="1"/>
    <x v="19"/>
    <x v="71"/>
    <n v="18"/>
    <n v="14"/>
    <n v="5543.74"/>
    <n v="0.21323348068358605"/>
    <n v="3.777777777777777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FE182-AD7F-0B43-9EB7-FB9E56DB0FEB}" name="PivotTable14"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90:G103" firstHeaderRow="1" firstDataRow="1" firstDataCol="1"/>
  <pivotFields count="12">
    <pivotField showAll="0">
      <items count="4">
        <item h="1" m="1" x="2"/>
        <item x="0"/>
        <item x="1"/>
        <item t="default"/>
      </items>
    </pivotField>
    <pivotField numFmtId="14" showAll="0">
      <items count="22">
        <item m="1" x="20"/>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dataField="1" showAll="0"/>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1"/>
        <item sd="0" x="2"/>
        <item sd="0" x="3"/>
        <item sd="0" x="4"/>
        <item sd="0" x="5"/>
        <item x="0"/>
      </items>
    </pivotField>
    <pivotField showAll="0" defaultSubtotal="0">
      <items count="4">
        <item sd="0" x="1"/>
        <item sd="0" x="2"/>
        <item sd="0" x="3"/>
        <item x="0"/>
      </items>
    </pivotField>
  </pivotFields>
  <rowFields count="1">
    <field x="9"/>
  </rowFields>
  <rowItems count="13">
    <i>
      <x v="1"/>
    </i>
    <i>
      <x v="2"/>
    </i>
    <i>
      <x v="3"/>
    </i>
    <i>
      <x v="4"/>
    </i>
    <i>
      <x v="5"/>
    </i>
    <i>
      <x v="6"/>
    </i>
    <i>
      <x v="7"/>
    </i>
    <i>
      <x v="8"/>
    </i>
    <i>
      <x v="9"/>
    </i>
    <i>
      <x v="10"/>
    </i>
    <i>
      <x v="11"/>
    </i>
    <i>
      <x v="12"/>
    </i>
    <i t="grand">
      <x/>
    </i>
  </rowItems>
  <colItems count="1">
    <i/>
  </colItems>
  <dataFields count="1">
    <dataField name="Late Delivery %" fld="8"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BC4FA-600B-EA49-85C9-E96187A45B71}" name="PivotTable3"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3:F24" firstHeaderRow="1" firstDataRow="1" firstDataCol="1"/>
  <pivotFields count="12">
    <pivotField showAll="0">
      <items count="4">
        <item h="1" m="1" x="2"/>
        <item x="0"/>
        <item x="1"/>
        <item t="default"/>
      </items>
    </pivotField>
    <pivotField numFmtId="14" showAll="0">
      <items count="22">
        <item m="1" x="20"/>
        <item x="0"/>
        <item x="1"/>
        <item x="2"/>
        <item x="3"/>
        <item x="4"/>
        <item x="5"/>
        <item x="6"/>
        <item x="7"/>
        <item x="8"/>
        <item x="9"/>
        <item x="10"/>
        <item x="11"/>
        <item x="12"/>
        <item x="13"/>
        <item x="14"/>
        <item x="15"/>
        <item x="16"/>
        <item x="17"/>
        <item x="18"/>
        <item x="19"/>
        <item t="default"/>
      </items>
    </pivotField>
    <pivotField axis="axisRow" showAll="0" measureFilter="1" sortType="descending">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defaultSubtotal="0"/>
    <pivotField showAll="0" defaultSubtotal="0"/>
    <pivotField showAll="0" defaultSubtotal="0">
      <items count="4">
        <item x="1"/>
        <item x="2"/>
        <item x="3"/>
        <item x="0"/>
      </items>
    </pivotField>
  </pivotFields>
  <rowFields count="1">
    <field x="2"/>
  </rowFields>
  <rowItems count="11">
    <i>
      <x v="7"/>
    </i>
    <i>
      <x v="43"/>
    </i>
    <i>
      <x v="65"/>
    </i>
    <i>
      <x v="15"/>
    </i>
    <i>
      <x v="39"/>
    </i>
    <i>
      <x v="49"/>
    </i>
    <i>
      <x v="70"/>
    </i>
    <i>
      <x v="68"/>
    </i>
    <i>
      <x v="5"/>
    </i>
    <i>
      <x v="69"/>
    </i>
    <i t="grand">
      <x/>
    </i>
  </rowItems>
  <colItems count="1">
    <i/>
  </colItems>
  <dataFields count="1">
    <dataField name="Sum of distinct_orders" fld="4"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BFB1B-0737-7047-9DBD-BC76B1843E6E}" name="PivotTable9"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0:D103" firstHeaderRow="0" firstDataRow="1" firstDataCol="1"/>
  <pivotFields count="12">
    <pivotField showAll="0">
      <items count="4">
        <item h="1" m="1" x="2"/>
        <item x="0"/>
        <item x="1"/>
        <item t="default"/>
      </items>
    </pivotField>
    <pivotField numFmtId="14" showAll="0">
      <items count="22">
        <item m="1" x="20"/>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1"/>
        <item x="2"/>
        <item x="3"/>
        <item x="4"/>
        <item x="5"/>
        <item x="0"/>
      </items>
    </pivotField>
    <pivotField showAll="0" defaultSubtotal="0">
      <items count="4">
        <item x="1"/>
        <item x="2"/>
        <item x="3"/>
        <item x="0"/>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5" baseField="0" baseItem="0" numFmtId="166"/>
    <dataField name="Sum of distinct_orders" fld="4"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12219-C7E2-7648-A05A-DD1714572A1E}" name="PivotTable5"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L86" firstHeaderRow="1" firstDataRow="1" firstDataCol="1"/>
  <pivotFields count="12">
    <pivotField showAll="0"/>
    <pivotField numFmtId="14" showAll="0">
      <items count="22">
        <item m="1" x="20"/>
        <item x="0"/>
        <item x="1"/>
        <item x="2"/>
        <item x="3"/>
        <item x="4"/>
        <item x="5"/>
        <item x="6"/>
        <item x="7"/>
        <item x="8"/>
        <item x="9"/>
        <item x="10"/>
        <item x="11"/>
        <item x="12"/>
        <item x="13"/>
        <item x="14"/>
        <item x="15"/>
        <item x="16"/>
        <item x="17"/>
        <item x="18"/>
        <item x="19"/>
        <item t="default"/>
      </items>
    </pivotField>
    <pivotField axis="axisRow"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4">
        <item x="1"/>
        <item x="2"/>
        <item x="3"/>
        <item x="0"/>
      </items>
    </pivotField>
  </pivotFields>
  <rowFields count="1">
    <field x="2"/>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g.late_delivery_rate" fld="8"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70DC0C-2301-FF4E-B87C-37067774CCE8}" name="PivotTable4"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86" firstHeaderRow="1" firstDataRow="1" firstDataCol="1"/>
  <pivotFields count="12">
    <pivotField showAll="0"/>
    <pivotField numFmtId="14" showAll="0">
      <items count="22">
        <item m="1" x="20"/>
        <item x="0"/>
        <item x="1"/>
        <item x="2"/>
        <item x="3"/>
        <item x="4"/>
        <item x="5"/>
        <item x="6"/>
        <item x="7"/>
        <item x="8"/>
        <item x="9"/>
        <item x="10"/>
        <item x="11"/>
        <item x="12"/>
        <item x="13"/>
        <item x="14"/>
        <item x="15"/>
        <item x="16"/>
        <item x="17"/>
        <item x="18"/>
        <item x="19"/>
        <item t="default"/>
      </items>
    </pivotField>
    <pivotField axis="axisRow"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4">
        <item x="1"/>
        <item x="2"/>
        <item x="3"/>
        <item x="0"/>
      </items>
    </pivotField>
  </pivotFields>
  <rowFields count="1">
    <field x="2"/>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erage Review Score" fld="7"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FA843-0CC2-E84A-9F78-65BBAE3D369B}" name="PivotTable2"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24" firstHeaderRow="1" firstDataRow="1" firstDataCol="1"/>
  <pivotFields count="12">
    <pivotField showAll="0">
      <items count="4">
        <item h="1" m="1" x="2"/>
        <item x="0"/>
        <item x="1"/>
        <item t="default"/>
      </items>
    </pivotField>
    <pivotField numFmtId="14" showAll="0">
      <items count="22">
        <item m="1" x="20"/>
        <item x="0"/>
        <item x="1"/>
        <item x="2"/>
        <item x="3"/>
        <item x="4"/>
        <item x="5"/>
        <item x="6"/>
        <item x="7"/>
        <item x="8"/>
        <item x="9"/>
        <item x="10"/>
        <item x="11"/>
        <item x="12"/>
        <item x="13"/>
        <item x="14"/>
        <item x="15"/>
        <item x="16"/>
        <item x="17"/>
        <item x="18"/>
        <item x="19"/>
        <item t="default"/>
      </items>
    </pivotField>
    <pivotField axis="axisRow" showAll="0" measureFilter="1" sortType="descending">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pivotField showAll="0" defaultSubtotal="0">
      <items count="4">
        <item x="1"/>
        <item x="2"/>
        <item x="3"/>
        <item x="0"/>
      </items>
    </pivotField>
  </pivotFields>
  <rowFields count="1">
    <field x="2"/>
  </rowFields>
  <rowItems count="11">
    <i>
      <x v="43"/>
    </i>
    <i>
      <x v="70"/>
    </i>
    <i>
      <x v="7"/>
    </i>
    <i>
      <x v="65"/>
    </i>
    <i>
      <x v="15"/>
    </i>
    <i>
      <x v="39"/>
    </i>
    <i>
      <x v="49"/>
    </i>
    <i>
      <x v="20"/>
    </i>
    <i>
      <x v="5"/>
    </i>
    <i>
      <x v="42"/>
    </i>
    <i t="grand">
      <x/>
    </i>
  </rowItems>
  <colItems count="1">
    <i/>
  </colItems>
  <dataFields count="1">
    <dataField name="Sum of revenue"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9BE153-F870-E04D-8B33-AE86E8DF6DC5}" name="PivotTable1"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6" firstHeaderRow="0" firstDataRow="1" firstDataCol="1"/>
  <pivotFields count="12">
    <pivotField showAll="0"/>
    <pivotField axis="axisRow" numFmtId="14" showAll="0">
      <items count="22">
        <item m="1" x="20"/>
        <item x="0"/>
        <item x="1"/>
        <item x="2"/>
        <item x="3"/>
        <item x="4"/>
        <item x="5"/>
        <item x="6"/>
        <item x="7"/>
        <item x="8"/>
        <item x="9"/>
        <item x="10"/>
        <item x="11"/>
        <item x="12"/>
        <item x="13"/>
        <item x="14"/>
        <item x="15"/>
        <item x="16"/>
        <item x="17"/>
        <item x="18"/>
        <item x="19"/>
        <item t="default"/>
      </items>
    </pivotField>
    <pivotField showAll="0">
      <items count="73">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t="default"/>
      </items>
    </pivotField>
    <pivotField showAll="0"/>
    <pivotField dataField="1"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1"/>
        <item sd="0" x="2"/>
        <item sd="0" x="3"/>
        <item sd="0" x="4"/>
        <item x="5"/>
        <item x="0"/>
        <item t="default"/>
      </items>
    </pivotField>
    <pivotField axis="axisRow" showAll="0">
      <items count="5">
        <item sd="0" x="1"/>
        <item sd="0" x="2"/>
        <item x="3"/>
        <item x="0"/>
        <item t="default"/>
      </items>
    </pivotField>
  </pivotFields>
  <rowFields count="4">
    <field x="11"/>
    <field x="10"/>
    <field x="9"/>
    <field x="1"/>
  </rowFields>
  <rowItems count="3">
    <i>
      <x/>
    </i>
    <i>
      <x v="1"/>
    </i>
    <i t="grand">
      <x/>
    </i>
  </rowItems>
  <colFields count="1">
    <field x="-2"/>
  </colFields>
  <colItems count="3">
    <i>
      <x/>
    </i>
    <i i="1">
      <x v="1"/>
    </i>
    <i i="2">
      <x v="2"/>
    </i>
  </colItems>
  <dataFields count="3">
    <dataField name="Average Review Score" fld="7" subtotal="average" baseField="0" baseItem="0" numFmtId="164"/>
    <dataField name="Total Revenue" fld="5" baseField="0" baseItem="0" numFmtId="165"/>
    <dataField name="Distinct Orders"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8CE5700-6A5B-744D-A2BB-8DE9138E9E93}" autoFormatId="16" applyNumberFormats="0" applyBorderFormats="0" applyFontFormats="0" applyPatternFormats="0" applyAlignmentFormats="0" applyWidthHeightFormats="0">
  <queryTableRefresh nextId="10">
    <queryTableFields count="9">
      <queryTableField id="1" name="year" tableColumnId="1"/>
      <queryTableField id="2" name="year_month" tableColumnId="2"/>
      <queryTableField id="3" name="product_category_name_english" tableColumnId="3"/>
      <queryTableField id="4" name="order_items_count" tableColumnId="4"/>
      <queryTableField id="5" name="distinct_orders" tableColumnId="5"/>
      <queryTableField id="6" name="revenue" tableColumnId="6"/>
      <queryTableField id="7" name="avg_freight_ratio" tableColumnId="7"/>
      <queryTableField id="8" name="avg_review_score" tableColumnId="8"/>
      <queryTableField id="9" name="late_delivery_r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2D7326-9D5E-4B4B-AED8-CBC741D5AD83}" sourceName="year">
  <pivotTables>
    <pivotTable tabId="1" name="PivotTable9"/>
    <pivotTable tabId="1" name="PivotTable14"/>
    <pivotTable tabId="1" name="PivotTable2"/>
    <pivotTable tabId="1" name="PivotTable3"/>
  </pivotTables>
  <data>
    <tabular pivotCacheId="1758381775" showMissing="0" crossFilter="none">
      <items count="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9A168A-277D-7640-9E9A-19E16F99F5A4}" cache="Slicer_year" caption="yea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6CF06C-D80D-7E4A-968C-F1787938BEB5}" name="category_monthly_metrics__2" displayName="category_monthly_metrics__2" ref="A1:I1238" tableType="queryTable" totalsRowShown="0">
  <autoFilter ref="A1:I1238" xr:uid="{216CF06C-D80D-7E4A-968C-F1787938BEB5}"/>
  <sortState xmlns:xlrd2="http://schemas.microsoft.com/office/spreadsheetml/2017/richdata2" ref="A2:I1238">
    <sortCondition descending="1" ref="C1:C1238"/>
  </sortState>
  <tableColumns count="9">
    <tableColumn id="1" xr3:uid="{A090E14E-124B-124A-8843-09D243F37ECD}" uniqueName="1" name="year" queryTableFieldId="1"/>
    <tableColumn id="2" xr3:uid="{8CDC85A0-1EAE-6B4D-B2BF-AA663A1A6692}" uniqueName="2" name="year_month" queryTableFieldId="2" dataDxfId="1"/>
    <tableColumn id="3" xr3:uid="{509AD88F-2B54-7F42-8AE9-73E70CE3BBF4}" uniqueName="3" name="product_category_name_english" queryTableFieldId="3" dataDxfId="0"/>
    <tableColumn id="4" xr3:uid="{3C906D87-F4AD-8B40-B798-F4F77E7ED025}" uniqueName="4" name="order_items_count" queryTableFieldId="4"/>
    <tableColumn id="5" xr3:uid="{8C72FD55-9591-6341-8D0B-454445815C33}" uniqueName="5" name="distinct_orders" queryTableFieldId="5"/>
    <tableColumn id="6" xr3:uid="{98EA7F10-7F47-2F4D-BA12-EFBA2FB12152}" uniqueName="6" name="revenue" queryTableFieldId="6"/>
    <tableColumn id="7" xr3:uid="{31735837-D7FA-A049-BAC4-D8002113D084}" uniqueName="7" name="avg_freight_ratio" queryTableFieldId="7"/>
    <tableColumn id="8" xr3:uid="{D805604D-9752-F54F-BA63-B4A7DA99DB3C}" uniqueName="8" name="avg_review_score" queryTableFieldId="8"/>
    <tableColumn id="9" xr3:uid="{6B9C7DDE-D248-734B-BC53-A1F131F82366}" uniqueName="9" name="late_delivery_rat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C2B8-DD61-6D40-B049-2398A29BB09E}">
  <dimension ref="A1:I1238"/>
  <sheetViews>
    <sheetView topLeftCell="A72" workbookViewId="0">
      <selection activeCell="C29" sqref="C29"/>
    </sheetView>
  </sheetViews>
  <sheetFormatPr baseColWidth="10" defaultRowHeight="16"/>
  <cols>
    <col min="1" max="1" width="7.1640625" bestFit="1" customWidth="1"/>
    <col min="2" max="2" width="13.33203125" bestFit="1" customWidth="1"/>
    <col min="3" max="3" width="35.5" bestFit="1" customWidth="1"/>
    <col min="4" max="4" width="19.33203125" bestFit="1" customWidth="1"/>
    <col min="5" max="5" width="16.1640625" bestFit="1" customWidth="1"/>
    <col min="6" max="6" width="10.1640625" bestFit="1" customWidth="1"/>
    <col min="7" max="7" width="17.5" bestFit="1" customWidth="1"/>
    <col min="8" max="9" width="18.1640625" bestFit="1" customWidth="1"/>
  </cols>
  <sheetData>
    <row r="1" spans="1:9">
      <c r="A1" t="s">
        <v>0</v>
      </c>
      <c r="B1" t="s">
        <v>1</v>
      </c>
      <c r="C1" t="s">
        <v>2</v>
      </c>
      <c r="D1" t="s">
        <v>3</v>
      </c>
      <c r="E1" t="s">
        <v>4</v>
      </c>
      <c r="F1" t="s">
        <v>5</v>
      </c>
      <c r="G1" t="s">
        <v>6</v>
      </c>
      <c r="H1" t="s">
        <v>7</v>
      </c>
      <c r="I1" t="s">
        <v>8</v>
      </c>
    </row>
    <row r="2" spans="1:9">
      <c r="A2">
        <v>2017</v>
      </c>
      <c r="B2" s="1">
        <v>42736</v>
      </c>
      <c r="C2" s="2" t="s">
        <v>39</v>
      </c>
      <c r="D2">
        <v>11</v>
      </c>
      <c r="E2">
        <v>11</v>
      </c>
      <c r="F2">
        <v>8310.83</v>
      </c>
      <c r="G2">
        <v>5.5665492392906593E-2</v>
      </c>
      <c r="H2">
        <v>4</v>
      </c>
      <c r="I2">
        <v>9.0909090909090912E-2</v>
      </c>
    </row>
    <row r="3" spans="1:9">
      <c r="A3">
        <v>2017</v>
      </c>
      <c r="B3" s="1">
        <v>42767</v>
      </c>
      <c r="C3" s="2" t="s">
        <v>39</v>
      </c>
      <c r="D3">
        <v>37</v>
      </c>
      <c r="E3">
        <v>35</v>
      </c>
      <c r="F3">
        <v>12370.67</v>
      </c>
      <c r="G3">
        <v>0.11780174653968288</v>
      </c>
      <c r="H3">
        <v>4</v>
      </c>
      <c r="I3">
        <v>0</v>
      </c>
    </row>
    <row r="4" spans="1:9">
      <c r="A4">
        <v>2017</v>
      </c>
      <c r="B4" s="1">
        <v>42795</v>
      </c>
      <c r="C4" s="2" t="s">
        <v>39</v>
      </c>
      <c r="D4">
        <v>81</v>
      </c>
      <c r="E4">
        <v>76</v>
      </c>
      <c r="F4">
        <v>28066.55</v>
      </c>
      <c r="G4">
        <v>0.14130862051919588</v>
      </c>
      <c r="H4">
        <v>4.1375000000000002</v>
      </c>
      <c r="I4">
        <v>2.6315789473684209E-2</v>
      </c>
    </row>
    <row r="5" spans="1:9">
      <c r="A5">
        <v>2017</v>
      </c>
      <c r="B5" s="1">
        <v>42826</v>
      </c>
      <c r="C5" s="2" t="s">
        <v>39</v>
      </c>
      <c r="D5">
        <v>98</v>
      </c>
      <c r="E5">
        <v>90</v>
      </c>
      <c r="F5">
        <v>25223.15</v>
      </c>
      <c r="G5">
        <v>0.16759589326045576</v>
      </c>
      <c r="H5">
        <v>3.9587628865979383</v>
      </c>
      <c r="I5">
        <v>5.5555555555555552E-2</v>
      </c>
    </row>
    <row r="6" spans="1:9">
      <c r="A6">
        <v>2017</v>
      </c>
      <c r="B6" s="1">
        <v>42856</v>
      </c>
      <c r="C6" s="2" t="s">
        <v>39</v>
      </c>
      <c r="D6">
        <v>136</v>
      </c>
      <c r="E6">
        <v>126</v>
      </c>
      <c r="F6">
        <v>40430.14</v>
      </c>
      <c r="G6">
        <v>0.13167083910435642</v>
      </c>
      <c r="H6">
        <v>4.242647058823529</v>
      </c>
      <c r="I6">
        <v>1.5873015873015872E-2</v>
      </c>
    </row>
    <row r="7" spans="1:9">
      <c r="A7">
        <v>2017</v>
      </c>
      <c r="B7" s="1">
        <v>42887</v>
      </c>
      <c r="C7" s="2" t="s">
        <v>39</v>
      </c>
      <c r="D7">
        <v>124</v>
      </c>
      <c r="E7">
        <v>118</v>
      </c>
      <c r="F7">
        <v>30918.54</v>
      </c>
      <c r="G7">
        <v>0.13717280811642779</v>
      </c>
      <c r="H7">
        <v>4.139344262295082</v>
      </c>
      <c r="I7">
        <v>2.5423728813559324E-2</v>
      </c>
    </row>
    <row r="8" spans="1:9">
      <c r="A8">
        <v>2017</v>
      </c>
      <c r="B8" s="1">
        <v>42917</v>
      </c>
      <c r="C8" s="2" t="s">
        <v>39</v>
      </c>
      <c r="D8">
        <v>168</v>
      </c>
      <c r="E8">
        <v>157</v>
      </c>
      <c r="F8">
        <v>39585.760000000002</v>
      </c>
      <c r="G8">
        <v>0.15111255264288112</v>
      </c>
      <c r="H8">
        <v>4.0119760479041915</v>
      </c>
      <c r="I8">
        <v>3.1847133757961783E-2</v>
      </c>
    </row>
    <row r="9" spans="1:9">
      <c r="A9">
        <v>2017</v>
      </c>
      <c r="B9" s="1">
        <v>42948</v>
      </c>
      <c r="C9" s="2" t="s">
        <v>39</v>
      </c>
      <c r="D9">
        <v>212</v>
      </c>
      <c r="E9">
        <v>195</v>
      </c>
      <c r="F9">
        <v>39844.699999999997</v>
      </c>
      <c r="G9">
        <v>0.16821270946915312</v>
      </c>
      <c r="H9">
        <v>4.3726415094339623</v>
      </c>
      <c r="I9">
        <v>2.564102564102564E-2</v>
      </c>
    </row>
    <row r="10" spans="1:9">
      <c r="A10">
        <v>2017</v>
      </c>
      <c r="B10" s="1">
        <v>42979</v>
      </c>
      <c r="C10" s="2" t="s">
        <v>39</v>
      </c>
      <c r="D10">
        <v>269</v>
      </c>
      <c r="E10">
        <v>255</v>
      </c>
      <c r="F10">
        <v>51531.1</v>
      </c>
      <c r="G10">
        <v>0.15004110994920042</v>
      </c>
      <c r="H10">
        <v>4.2631578947368425</v>
      </c>
      <c r="I10">
        <v>3.9215686274509803E-2</v>
      </c>
    </row>
    <row r="11" spans="1:9">
      <c r="A11">
        <v>2017</v>
      </c>
      <c r="B11" s="1">
        <v>43009</v>
      </c>
      <c r="C11" s="2" t="s">
        <v>39</v>
      </c>
      <c r="D11">
        <v>314</v>
      </c>
      <c r="E11">
        <v>287</v>
      </c>
      <c r="F11">
        <v>70932.960000000006</v>
      </c>
      <c r="G11">
        <v>0.14066142013194166</v>
      </c>
      <c r="H11">
        <v>4.009646302250804</v>
      </c>
      <c r="I11">
        <v>4.5296167247386762E-2</v>
      </c>
    </row>
    <row r="12" spans="1:9">
      <c r="A12">
        <v>2017</v>
      </c>
      <c r="B12" s="1">
        <v>43040</v>
      </c>
      <c r="C12" s="2" t="s">
        <v>39</v>
      </c>
      <c r="D12">
        <v>469</v>
      </c>
      <c r="E12">
        <v>430</v>
      </c>
      <c r="F12">
        <v>105672.8</v>
      </c>
      <c r="G12">
        <v>0.14514928374281436</v>
      </c>
      <c r="H12">
        <v>3.9175704989154014</v>
      </c>
      <c r="I12">
        <v>0.12325581395348838</v>
      </c>
    </row>
    <row r="13" spans="1:9">
      <c r="A13">
        <v>2017</v>
      </c>
      <c r="B13" s="1">
        <v>43070</v>
      </c>
      <c r="C13" s="2" t="s">
        <v>39</v>
      </c>
      <c r="D13">
        <v>367</v>
      </c>
      <c r="E13">
        <v>346</v>
      </c>
      <c r="F13">
        <v>77405.23</v>
      </c>
      <c r="G13">
        <v>0.12594917805389572</v>
      </c>
      <c r="H13">
        <v>4.0193370165745854</v>
      </c>
      <c r="I13">
        <v>6.358381502890173E-2</v>
      </c>
    </row>
    <row r="14" spans="1:9">
      <c r="A14">
        <v>2018</v>
      </c>
      <c r="B14" s="1">
        <v>43101</v>
      </c>
      <c r="C14" s="2" t="s">
        <v>39</v>
      </c>
      <c r="D14">
        <v>370</v>
      </c>
      <c r="E14">
        <v>337</v>
      </c>
      <c r="F14">
        <v>81519.89</v>
      </c>
      <c r="G14">
        <v>0.12738777815202174</v>
      </c>
      <c r="H14">
        <v>3.9260273972602739</v>
      </c>
      <c r="I14">
        <v>5.9347181008902079E-2</v>
      </c>
    </row>
    <row r="15" spans="1:9">
      <c r="A15">
        <v>2018</v>
      </c>
      <c r="B15" s="1">
        <v>43132</v>
      </c>
      <c r="C15" s="2" t="s">
        <v>39</v>
      </c>
      <c r="D15">
        <v>337</v>
      </c>
      <c r="E15">
        <v>317</v>
      </c>
      <c r="F15">
        <v>69523.149999999994</v>
      </c>
      <c r="G15">
        <v>0.12868911818175449</v>
      </c>
      <c r="H15">
        <v>3.6036036036036037</v>
      </c>
      <c r="I15">
        <v>0.1892744479495268</v>
      </c>
    </row>
    <row r="16" spans="1:9">
      <c r="A16">
        <v>2018</v>
      </c>
      <c r="B16" s="1">
        <v>43160</v>
      </c>
      <c r="C16" s="2" t="s">
        <v>39</v>
      </c>
      <c r="D16">
        <v>430</v>
      </c>
      <c r="E16">
        <v>416</v>
      </c>
      <c r="F16">
        <v>106696.69</v>
      </c>
      <c r="G16">
        <v>0.12838733349585646</v>
      </c>
      <c r="H16">
        <v>3.6666666666666665</v>
      </c>
      <c r="I16">
        <v>0.24519230769230768</v>
      </c>
    </row>
    <row r="17" spans="1:9">
      <c r="A17">
        <v>2018</v>
      </c>
      <c r="B17" s="1">
        <v>43191</v>
      </c>
      <c r="C17" s="2" t="s">
        <v>39</v>
      </c>
      <c r="D17">
        <v>505</v>
      </c>
      <c r="E17">
        <v>473</v>
      </c>
      <c r="F17">
        <v>100316.99</v>
      </c>
      <c r="G17">
        <v>0.11021511686145813</v>
      </c>
      <c r="H17">
        <v>4.2075848303393215</v>
      </c>
      <c r="I17">
        <v>3.5940803382663845E-2</v>
      </c>
    </row>
    <row r="18" spans="1:9">
      <c r="A18">
        <v>2018</v>
      </c>
      <c r="B18" s="1">
        <v>43221</v>
      </c>
      <c r="C18" s="2" t="s">
        <v>39</v>
      </c>
      <c r="D18">
        <v>637</v>
      </c>
      <c r="E18">
        <v>596</v>
      </c>
      <c r="F18">
        <v>132664.34</v>
      </c>
      <c r="G18">
        <v>9.4612488360193606E-2</v>
      </c>
      <c r="H18">
        <v>3.992138364779874</v>
      </c>
      <c r="I18">
        <v>9.0604026845637578E-2</v>
      </c>
    </row>
    <row r="19" spans="1:9">
      <c r="A19">
        <v>2018</v>
      </c>
      <c r="B19" s="1">
        <v>43252</v>
      </c>
      <c r="C19" s="2" t="s">
        <v>39</v>
      </c>
      <c r="D19">
        <v>481</v>
      </c>
      <c r="E19">
        <v>448</v>
      </c>
      <c r="F19">
        <v>95855.5</v>
      </c>
      <c r="G19">
        <v>0.13881867548934126</v>
      </c>
      <c r="H19">
        <v>4.1899791231732779</v>
      </c>
      <c r="I19">
        <v>1.7857142857142856E-2</v>
      </c>
    </row>
    <row r="20" spans="1:9">
      <c r="A20">
        <v>2018</v>
      </c>
      <c r="B20" s="1">
        <v>43282</v>
      </c>
      <c r="C20" s="2" t="s">
        <v>39</v>
      </c>
      <c r="D20">
        <v>529</v>
      </c>
      <c r="E20">
        <v>514</v>
      </c>
      <c r="F20">
        <v>106138.21</v>
      </c>
      <c r="G20">
        <v>0.14083803525991126</v>
      </c>
      <c r="H20">
        <v>3.9750479846449136</v>
      </c>
      <c r="I20">
        <v>2.1400778210116732E-2</v>
      </c>
    </row>
    <row r="21" spans="1:9">
      <c r="A21">
        <v>2018</v>
      </c>
      <c r="B21" s="1">
        <v>43313</v>
      </c>
      <c r="C21" s="2" t="s">
        <v>39</v>
      </c>
      <c r="D21">
        <v>416</v>
      </c>
      <c r="E21">
        <v>392</v>
      </c>
      <c r="F21">
        <v>79391.86</v>
      </c>
      <c r="G21">
        <v>0.13671937337698994</v>
      </c>
      <c r="H21">
        <v>4.1514423076923075</v>
      </c>
      <c r="I21">
        <v>7.3979591836734693E-2</v>
      </c>
    </row>
    <row r="22" spans="1:9">
      <c r="A22">
        <v>2017</v>
      </c>
      <c r="B22" s="1">
        <v>42736</v>
      </c>
      <c r="C22" s="2" t="s">
        <v>102</v>
      </c>
      <c r="D22">
        <v>13</v>
      </c>
      <c r="E22">
        <v>11</v>
      </c>
      <c r="F22">
        <v>1915.73</v>
      </c>
      <c r="G22">
        <v>0.25711260050468443</v>
      </c>
      <c r="H22">
        <v>3.6153846153846154</v>
      </c>
      <c r="I22">
        <v>0</v>
      </c>
    </row>
    <row r="23" spans="1:9">
      <c r="A23">
        <v>2017</v>
      </c>
      <c r="B23" s="1">
        <v>42767</v>
      </c>
      <c r="C23" s="2" t="s">
        <v>102</v>
      </c>
      <c r="D23">
        <v>58</v>
      </c>
      <c r="E23">
        <v>52</v>
      </c>
      <c r="F23">
        <v>10090.89</v>
      </c>
      <c r="G23">
        <v>0.25885343572236713</v>
      </c>
      <c r="H23">
        <v>3.8620689655172415</v>
      </c>
      <c r="I23">
        <v>0.13461538461538461</v>
      </c>
    </row>
    <row r="24" spans="1:9">
      <c r="A24">
        <v>2017</v>
      </c>
      <c r="B24" s="1">
        <v>42795</v>
      </c>
      <c r="C24" s="2" t="s">
        <v>102</v>
      </c>
      <c r="D24">
        <v>63</v>
      </c>
      <c r="E24">
        <v>57</v>
      </c>
      <c r="F24">
        <v>7791.09</v>
      </c>
      <c r="G24">
        <v>0.22376078441206348</v>
      </c>
      <c r="H24">
        <v>3.9</v>
      </c>
      <c r="I24">
        <v>8.771929824561403E-2</v>
      </c>
    </row>
    <row r="25" spans="1:9">
      <c r="A25">
        <v>2017</v>
      </c>
      <c r="B25" s="1">
        <v>42826</v>
      </c>
      <c r="C25" s="2" t="s">
        <v>102</v>
      </c>
      <c r="D25">
        <v>73</v>
      </c>
      <c r="E25">
        <v>65</v>
      </c>
      <c r="F25">
        <v>10483.25</v>
      </c>
      <c r="G25">
        <v>0.2426900408067495</v>
      </c>
      <c r="H25">
        <v>4.1232876712328768</v>
      </c>
      <c r="I25">
        <v>0.1076923076923077</v>
      </c>
    </row>
    <row r="26" spans="1:9">
      <c r="A26">
        <v>2017</v>
      </c>
      <c r="B26" s="1">
        <v>42856</v>
      </c>
      <c r="C26" s="2" t="s">
        <v>102</v>
      </c>
      <c r="D26">
        <v>97</v>
      </c>
      <c r="E26">
        <v>87</v>
      </c>
      <c r="F26">
        <v>12853.37</v>
      </c>
      <c r="G26">
        <v>0.25140839296150735</v>
      </c>
      <c r="H26">
        <v>4.1030927835051543</v>
      </c>
      <c r="I26">
        <v>1.1494252873563218E-2</v>
      </c>
    </row>
    <row r="27" spans="1:9">
      <c r="A27">
        <v>2017</v>
      </c>
      <c r="B27" s="1">
        <v>42887</v>
      </c>
      <c r="C27" s="2" t="s">
        <v>102</v>
      </c>
      <c r="D27">
        <v>65</v>
      </c>
      <c r="E27">
        <v>56</v>
      </c>
      <c r="F27">
        <v>6695.41</v>
      </c>
      <c r="G27">
        <v>0.24412674311742724</v>
      </c>
      <c r="H27">
        <v>3.6923076923076925</v>
      </c>
      <c r="I27">
        <v>1.7857142857142856E-2</v>
      </c>
    </row>
    <row r="28" spans="1:9">
      <c r="A28">
        <v>2017</v>
      </c>
      <c r="B28" s="1">
        <v>42917</v>
      </c>
      <c r="C28" s="2" t="s">
        <v>102</v>
      </c>
      <c r="D28">
        <v>62</v>
      </c>
      <c r="E28">
        <v>55</v>
      </c>
      <c r="F28">
        <v>4058.9</v>
      </c>
      <c r="G28">
        <v>0.26515729915764108</v>
      </c>
      <c r="H28">
        <v>4.1639344262295079</v>
      </c>
      <c r="I28">
        <v>0</v>
      </c>
    </row>
    <row r="29" spans="1:9">
      <c r="A29">
        <v>2017</v>
      </c>
      <c r="B29" s="1">
        <v>42948</v>
      </c>
      <c r="C29" s="2" t="s">
        <v>102</v>
      </c>
      <c r="D29">
        <v>77</v>
      </c>
      <c r="E29">
        <v>66</v>
      </c>
      <c r="F29">
        <v>6524.86</v>
      </c>
      <c r="G29">
        <v>0.23129699674349644</v>
      </c>
      <c r="H29">
        <v>4.0133333333333336</v>
      </c>
      <c r="I29">
        <v>4.5454545454545456E-2</v>
      </c>
    </row>
    <row r="30" spans="1:9">
      <c r="A30">
        <v>2017</v>
      </c>
      <c r="B30" s="1">
        <v>42979</v>
      </c>
      <c r="C30" s="2" t="s">
        <v>102</v>
      </c>
      <c r="D30">
        <v>75</v>
      </c>
      <c r="E30">
        <v>62</v>
      </c>
      <c r="F30">
        <v>7369.68</v>
      </c>
      <c r="G30">
        <v>0.23371435692610967</v>
      </c>
      <c r="H30">
        <v>3.9466666666666668</v>
      </c>
      <c r="I30">
        <v>6.4516129032258063E-2</v>
      </c>
    </row>
    <row r="31" spans="1:9">
      <c r="A31">
        <v>2017</v>
      </c>
      <c r="B31" s="1">
        <v>43009</v>
      </c>
      <c r="C31" s="2" t="s">
        <v>102</v>
      </c>
      <c r="D31">
        <v>73</v>
      </c>
      <c r="E31">
        <v>63</v>
      </c>
      <c r="F31">
        <v>20704.900000000001</v>
      </c>
      <c r="G31">
        <v>0.21906878921386033</v>
      </c>
      <c r="H31">
        <v>3.8732394366197185</v>
      </c>
      <c r="I31">
        <v>1.5873015873015872E-2</v>
      </c>
    </row>
    <row r="32" spans="1:9">
      <c r="A32">
        <v>2017</v>
      </c>
      <c r="B32" s="1">
        <v>43040</v>
      </c>
      <c r="C32" s="2" t="s">
        <v>102</v>
      </c>
      <c r="D32">
        <v>122</v>
      </c>
      <c r="E32">
        <v>115</v>
      </c>
      <c r="F32">
        <v>16253.19</v>
      </c>
      <c r="G32">
        <v>0.2312494294482508</v>
      </c>
      <c r="H32">
        <v>3.6967213114754096</v>
      </c>
      <c r="I32">
        <v>0.1391304347826087</v>
      </c>
    </row>
    <row r="33" spans="1:9">
      <c r="A33">
        <v>2017</v>
      </c>
      <c r="B33" s="1">
        <v>43070</v>
      </c>
      <c r="C33" s="2" t="s">
        <v>102</v>
      </c>
      <c r="D33">
        <v>147</v>
      </c>
      <c r="E33">
        <v>137</v>
      </c>
      <c r="F33">
        <v>18250.21</v>
      </c>
      <c r="G33">
        <v>0.1460753473441142</v>
      </c>
      <c r="H33">
        <v>3.4513888888888888</v>
      </c>
      <c r="I33">
        <v>8.0291970802919707E-2</v>
      </c>
    </row>
    <row r="34" spans="1:9">
      <c r="A34">
        <v>2018</v>
      </c>
      <c r="B34" s="1">
        <v>43101</v>
      </c>
      <c r="C34" s="2" t="s">
        <v>102</v>
      </c>
      <c r="D34">
        <v>208</v>
      </c>
      <c r="E34">
        <v>184</v>
      </c>
      <c r="F34">
        <v>25627.07</v>
      </c>
      <c r="G34">
        <v>0.18195417083369653</v>
      </c>
      <c r="H34">
        <v>3.4563106796116503</v>
      </c>
      <c r="I34">
        <v>9.2391304347826081E-2</v>
      </c>
    </row>
    <row r="35" spans="1:9">
      <c r="A35">
        <v>2018</v>
      </c>
      <c r="B35" s="1">
        <v>43132</v>
      </c>
      <c r="C35" s="2" t="s">
        <v>102</v>
      </c>
      <c r="D35">
        <v>122</v>
      </c>
      <c r="E35">
        <v>111</v>
      </c>
      <c r="F35">
        <v>15401.12</v>
      </c>
      <c r="G35">
        <v>0.17302664490796221</v>
      </c>
      <c r="H35">
        <v>3.942622950819672</v>
      </c>
      <c r="I35">
        <v>6.3063063063063057E-2</v>
      </c>
    </row>
    <row r="36" spans="1:9">
      <c r="A36">
        <v>2018</v>
      </c>
      <c r="B36" s="1">
        <v>43160</v>
      </c>
      <c r="C36" s="2" t="s">
        <v>102</v>
      </c>
      <c r="D36">
        <v>135</v>
      </c>
      <c r="E36">
        <v>127</v>
      </c>
      <c r="F36">
        <v>20026.740000000002</v>
      </c>
      <c r="G36">
        <v>0.16449481455151152</v>
      </c>
      <c r="H36">
        <v>3.8796992481203008</v>
      </c>
      <c r="I36">
        <v>0.20472440944881889</v>
      </c>
    </row>
    <row r="37" spans="1:9">
      <c r="A37">
        <v>2018</v>
      </c>
      <c r="B37" s="1">
        <v>43191</v>
      </c>
      <c r="C37" s="2" t="s">
        <v>102</v>
      </c>
      <c r="D37">
        <v>76</v>
      </c>
      <c r="E37">
        <v>74</v>
      </c>
      <c r="F37">
        <v>9616.41</v>
      </c>
      <c r="G37">
        <v>0.18138497951991925</v>
      </c>
      <c r="H37">
        <v>4.1052631578947372</v>
      </c>
      <c r="I37">
        <v>2.7027027027027029E-2</v>
      </c>
    </row>
    <row r="38" spans="1:9">
      <c r="A38">
        <v>2018</v>
      </c>
      <c r="B38" s="1">
        <v>43221</v>
      </c>
      <c r="C38" s="2" t="s">
        <v>102</v>
      </c>
      <c r="D38">
        <v>45</v>
      </c>
      <c r="E38">
        <v>40</v>
      </c>
      <c r="F38">
        <v>6075.77</v>
      </c>
      <c r="G38">
        <v>0.28233570980055411</v>
      </c>
      <c r="H38">
        <v>3.7727272727272725</v>
      </c>
      <c r="I38">
        <v>0.1</v>
      </c>
    </row>
    <row r="39" spans="1:9">
      <c r="A39">
        <v>2018</v>
      </c>
      <c r="B39" s="1">
        <v>43252</v>
      </c>
      <c r="C39" s="2" t="s">
        <v>102</v>
      </c>
      <c r="D39">
        <v>23</v>
      </c>
      <c r="E39">
        <v>22</v>
      </c>
      <c r="F39">
        <v>2805.7</v>
      </c>
      <c r="G39">
        <v>0.2405524244075059</v>
      </c>
      <c r="H39">
        <v>4</v>
      </c>
      <c r="I39">
        <v>0</v>
      </c>
    </row>
    <row r="40" spans="1:9">
      <c r="A40">
        <v>2018</v>
      </c>
      <c r="B40" s="1">
        <v>43282</v>
      </c>
      <c r="C40" s="2" t="s">
        <v>102</v>
      </c>
      <c r="D40">
        <v>58</v>
      </c>
      <c r="E40">
        <v>51</v>
      </c>
      <c r="F40">
        <v>6648.66</v>
      </c>
      <c r="G40">
        <v>0.27290516221915162</v>
      </c>
      <c r="H40">
        <v>3.8596491228070176</v>
      </c>
      <c r="I40">
        <v>1.9607843137254902E-2</v>
      </c>
    </row>
    <row r="41" spans="1:9">
      <c r="A41">
        <v>2018</v>
      </c>
      <c r="B41" s="1">
        <v>43313</v>
      </c>
      <c r="C41" s="2" t="s">
        <v>102</v>
      </c>
      <c r="D41">
        <v>38</v>
      </c>
      <c r="E41">
        <v>36</v>
      </c>
      <c r="F41">
        <v>5123.43</v>
      </c>
      <c r="G41">
        <v>0.23961693728462416</v>
      </c>
      <c r="H41">
        <v>4.2631578947368425</v>
      </c>
      <c r="I41">
        <v>8.3333333333333329E-2</v>
      </c>
    </row>
    <row r="42" spans="1:9">
      <c r="A42">
        <v>2017</v>
      </c>
      <c r="B42" s="1">
        <v>42736</v>
      </c>
      <c r="C42" s="2" t="s">
        <v>38</v>
      </c>
      <c r="D42">
        <v>43</v>
      </c>
      <c r="E42">
        <v>43</v>
      </c>
      <c r="F42">
        <v>5570.38</v>
      </c>
      <c r="G42">
        <v>0.17744124737906311</v>
      </c>
      <c r="H42">
        <v>4.2558139534883717</v>
      </c>
      <c r="I42">
        <v>0</v>
      </c>
    </row>
    <row r="43" spans="1:9">
      <c r="A43">
        <v>2017</v>
      </c>
      <c r="B43" s="1">
        <v>42767</v>
      </c>
      <c r="C43" s="2" t="s">
        <v>38</v>
      </c>
      <c r="D43">
        <v>67</v>
      </c>
      <c r="E43">
        <v>62</v>
      </c>
      <c r="F43">
        <v>10601.29</v>
      </c>
      <c r="G43">
        <v>0.19246611711728936</v>
      </c>
      <c r="H43">
        <v>4.2835820895522385</v>
      </c>
      <c r="I43">
        <v>1.6129032258064516E-2</v>
      </c>
    </row>
    <row r="44" spans="1:9">
      <c r="A44">
        <v>2017</v>
      </c>
      <c r="B44" s="1">
        <v>42795</v>
      </c>
      <c r="C44" s="2" t="s">
        <v>38</v>
      </c>
      <c r="D44">
        <v>103</v>
      </c>
      <c r="E44">
        <v>100</v>
      </c>
      <c r="F44">
        <v>14354.03</v>
      </c>
      <c r="G44">
        <v>0.18932166579153692</v>
      </c>
      <c r="H44">
        <v>4.4215686274509807</v>
      </c>
      <c r="I44">
        <v>0.03</v>
      </c>
    </row>
    <row r="45" spans="1:9">
      <c r="A45">
        <v>2017</v>
      </c>
      <c r="B45" s="1">
        <v>42826</v>
      </c>
      <c r="C45" s="2" t="s">
        <v>38</v>
      </c>
      <c r="D45">
        <v>113</v>
      </c>
      <c r="E45">
        <v>103</v>
      </c>
      <c r="F45">
        <v>14983.58</v>
      </c>
      <c r="G45">
        <v>0.17820513885089603</v>
      </c>
      <c r="H45">
        <v>4.2181818181818178</v>
      </c>
      <c r="I45">
        <v>3.8834951456310676E-2</v>
      </c>
    </row>
    <row r="46" spans="1:9">
      <c r="A46">
        <v>2017</v>
      </c>
      <c r="B46" s="1">
        <v>42856</v>
      </c>
      <c r="C46" s="2" t="s">
        <v>38</v>
      </c>
      <c r="D46">
        <v>200</v>
      </c>
      <c r="E46">
        <v>196</v>
      </c>
      <c r="F46">
        <v>26091.14</v>
      </c>
      <c r="G46">
        <v>0.17624027504010686</v>
      </c>
      <c r="H46">
        <v>4.5</v>
      </c>
      <c r="I46">
        <v>2.5510204081632654E-2</v>
      </c>
    </row>
    <row r="47" spans="1:9">
      <c r="A47">
        <v>2017</v>
      </c>
      <c r="B47" s="1">
        <v>42887</v>
      </c>
      <c r="C47" s="2" t="s">
        <v>38</v>
      </c>
      <c r="D47">
        <v>159</v>
      </c>
      <c r="E47">
        <v>152</v>
      </c>
      <c r="F47">
        <v>18373.599999999999</v>
      </c>
      <c r="G47">
        <v>0.1965450173105244</v>
      </c>
      <c r="H47">
        <v>4.3101265822784809</v>
      </c>
      <c r="I47">
        <v>2.6315789473684209E-2</v>
      </c>
    </row>
    <row r="48" spans="1:9">
      <c r="A48">
        <v>2017</v>
      </c>
      <c r="B48" s="1">
        <v>42917</v>
      </c>
      <c r="C48" s="2" t="s">
        <v>38</v>
      </c>
      <c r="D48">
        <v>208</v>
      </c>
      <c r="E48">
        <v>201</v>
      </c>
      <c r="F48">
        <v>28236.61</v>
      </c>
      <c r="G48">
        <v>0.18333557477522733</v>
      </c>
      <c r="H48">
        <v>4.4585365853658541</v>
      </c>
      <c r="I48">
        <v>1.4925373134328358E-2</v>
      </c>
    </row>
    <row r="49" spans="1:9">
      <c r="A49">
        <v>2017</v>
      </c>
      <c r="B49" s="1">
        <v>42948</v>
      </c>
      <c r="C49" s="2" t="s">
        <v>38</v>
      </c>
      <c r="D49">
        <v>184</v>
      </c>
      <c r="E49">
        <v>170</v>
      </c>
      <c r="F49">
        <v>21301.439999999999</v>
      </c>
      <c r="G49">
        <v>0.20105085634020486</v>
      </c>
      <c r="H49">
        <v>4.3770491803278686</v>
      </c>
      <c r="I49">
        <v>2.3529411764705882E-2</v>
      </c>
    </row>
    <row r="50" spans="1:9">
      <c r="A50">
        <v>2017</v>
      </c>
      <c r="B50" s="1">
        <v>42979</v>
      </c>
      <c r="C50" s="2" t="s">
        <v>38</v>
      </c>
      <c r="D50">
        <v>297</v>
      </c>
      <c r="E50">
        <v>273</v>
      </c>
      <c r="F50">
        <v>37056.83</v>
      </c>
      <c r="G50">
        <v>0.19651582691473321</v>
      </c>
      <c r="H50">
        <v>4.1365187713310583</v>
      </c>
      <c r="I50">
        <v>5.4945054945054944E-2</v>
      </c>
    </row>
    <row r="51" spans="1:9">
      <c r="A51">
        <v>2017</v>
      </c>
      <c r="B51" s="1">
        <v>43009</v>
      </c>
      <c r="C51" s="2" t="s">
        <v>38</v>
      </c>
      <c r="D51">
        <v>290</v>
      </c>
      <c r="E51">
        <v>279</v>
      </c>
      <c r="F51">
        <v>39714.300000000003</v>
      </c>
      <c r="G51">
        <v>0.17507401655425309</v>
      </c>
      <c r="H51">
        <v>4.2256944444444446</v>
      </c>
      <c r="I51">
        <v>3.9426523297491037E-2</v>
      </c>
    </row>
    <row r="52" spans="1:9">
      <c r="A52">
        <v>2017</v>
      </c>
      <c r="B52" s="1">
        <v>43040</v>
      </c>
      <c r="C52" s="2" t="s">
        <v>38</v>
      </c>
      <c r="D52">
        <v>497</v>
      </c>
      <c r="E52">
        <v>452</v>
      </c>
      <c r="F52">
        <v>73895.149999999994</v>
      </c>
      <c r="G52">
        <v>0.17868702560811509</v>
      </c>
      <c r="H52">
        <v>4.0469387755102044</v>
      </c>
      <c r="I52">
        <v>0.12168141592920353</v>
      </c>
    </row>
    <row r="53" spans="1:9">
      <c r="A53">
        <v>2017</v>
      </c>
      <c r="B53" s="1">
        <v>43070</v>
      </c>
      <c r="C53" s="2" t="s">
        <v>38</v>
      </c>
      <c r="D53">
        <v>445</v>
      </c>
      <c r="E53">
        <v>421</v>
      </c>
      <c r="F53">
        <v>65841.3</v>
      </c>
      <c r="G53">
        <v>0.16028656382211462</v>
      </c>
      <c r="H53">
        <v>3.8952164009111616</v>
      </c>
      <c r="I53">
        <v>9.9762470308788598E-2</v>
      </c>
    </row>
    <row r="54" spans="1:9">
      <c r="A54">
        <v>2018</v>
      </c>
      <c r="B54" s="1">
        <v>43101</v>
      </c>
      <c r="C54" s="2" t="s">
        <v>38</v>
      </c>
      <c r="D54">
        <v>165</v>
      </c>
      <c r="E54">
        <v>158</v>
      </c>
      <c r="F54">
        <v>24841.38</v>
      </c>
      <c r="G54">
        <v>0.16467368125895135</v>
      </c>
      <c r="H54">
        <v>4.0372670807453419</v>
      </c>
      <c r="I54">
        <v>6.9620253164556958E-2</v>
      </c>
    </row>
    <row r="55" spans="1:9">
      <c r="A55">
        <v>2018</v>
      </c>
      <c r="B55" s="1">
        <v>43132</v>
      </c>
      <c r="C55" s="2" t="s">
        <v>38</v>
      </c>
      <c r="D55">
        <v>146</v>
      </c>
      <c r="E55">
        <v>137</v>
      </c>
      <c r="F55">
        <v>17054.22</v>
      </c>
      <c r="G55">
        <v>0.19267849971142598</v>
      </c>
      <c r="H55">
        <v>3.823943661971831</v>
      </c>
      <c r="I55">
        <v>0.145985401459854</v>
      </c>
    </row>
    <row r="56" spans="1:9">
      <c r="A56">
        <v>2018</v>
      </c>
      <c r="B56" s="1">
        <v>43160</v>
      </c>
      <c r="C56" s="2" t="s">
        <v>38</v>
      </c>
      <c r="D56">
        <v>236</v>
      </c>
      <c r="E56">
        <v>222</v>
      </c>
      <c r="F56">
        <v>27879.82</v>
      </c>
      <c r="G56">
        <v>0.2126363581283725</v>
      </c>
      <c r="H56">
        <v>3.6309012875536482</v>
      </c>
      <c r="I56">
        <v>0.17117117117117117</v>
      </c>
    </row>
    <row r="57" spans="1:9">
      <c r="A57">
        <v>2018</v>
      </c>
      <c r="B57" s="1">
        <v>43191</v>
      </c>
      <c r="C57" s="2" t="s">
        <v>38</v>
      </c>
      <c r="D57">
        <v>205</v>
      </c>
      <c r="E57">
        <v>196</v>
      </c>
      <c r="F57">
        <v>27590.04</v>
      </c>
      <c r="G57">
        <v>0.21859018017335427</v>
      </c>
      <c r="H57">
        <v>4.2512315270935961</v>
      </c>
      <c r="I57">
        <v>3.5714285714285712E-2</v>
      </c>
    </row>
    <row r="58" spans="1:9">
      <c r="A58">
        <v>2018</v>
      </c>
      <c r="B58" s="1">
        <v>43221</v>
      </c>
      <c r="C58" s="2" t="s">
        <v>38</v>
      </c>
      <c r="D58">
        <v>221</v>
      </c>
      <c r="E58">
        <v>214</v>
      </c>
      <c r="F58">
        <v>36425.46</v>
      </c>
      <c r="G58">
        <v>0.18816514666608272</v>
      </c>
      <c r="H58">
        <v>4.3257918552036196</v>
      </c>
      <c r="I58">
        <v>6.5420560747663545E-2</v>
      </c>
    </row>
    <row r="59" spans="1:9">
      <c r="A59">
        <v>2018</v>
      </c>
      <c r="B59" s="1">
        <v>43252</v>
      </c>
      <c r="C59" s="2" t="s">
        <v>38</v>
      </c>
      <c r="D59">
        <v>191</v>
      </c>
      <c r="E59">
        <v>177</v>
      </c>
      <c r="F59">
        <v>25293.65</v>
      </c>
      <c r="G59">
        <v>0.22547592483786644</v>
      </c>
      <c r="H59">
        <v>4.4315789473684211</v>
      </c>
      <c r="I59">
        <v>5.6497175141242938E-3</v>
      </c>
    </row>
    <row r="60" spans="1:9">
      <c r="A60">
        <v>2018</v>
      </c>
      <c r="B60" s="1">
        <v>43282</v>
      </c>
      <c r="C60" s="2" t="s">
        <v>38</v>
      </c>
      <c r="D60">
        <v>156</v>
      </c>
      <c r="E60">
        <v>150</v>
      </c>
      <c r="F60">
        <v>20636.349999999999</v>
      </c>
      <c r="G60">
        <v>0.22704099103061628</v>
      </c>
      <c r="H60">
        <v>4.2820512820512819</v>
      </c>
      <c r="I60">
        <v>3.3333333333333333E-2</v>
      </c>
    </row>
    <row r="61" spans="1:9">
      <c r="A61">
        <v>2018</v>
      </c>
      <c r="B61" s="1">
        <v>43313</v>
      </c>
      <c r="C61" s="2" t="s">
        <v>38</v>
      </c>
      <c r="D61">
        <v>170</v>
      </c>
      <c r="E61">
        <v>155</v>
      </c>
      <c r="F61">
        <v>21074.27</v>
      </c>
      <c r="G61">
        <v>0.20277378927584305</v>
      </c>
      <c r="H61">
        <v>4.1317365269461082</v>
      </c>
      <c r="I61">
        <v>9.0322580645161285E-2</v>
      </c>
    </row>
    <row r="62" spans="1:9">
      <c r="A62">
        <v>2017</v>
      </c>
      <c r="B62" s="1">
        <v>42736</v>
      </c>
      <c r="C62" s="2" t="s">
        <v>11</v>
      </c>
      <c r="D62">
        <v>26</v>
      </c>
      <c r="E62">
        <v>21</v>
      </c>
      <c r="F62">
        <v>3411.51</v>
      </c>
      <c r="G62">
        <v>0.38380641244268332</v>
      </c>
      <c r="H62">
        <v>4</v>
      </c>
      <c r="I62">
        <v>0</v>
      </c>
    </row>
    <row r="63" spans="1:9">
      <c r="A63">
        <v>2017</v>
      </c>
      <c r="B63" s="1">
        <v>42767</v>
      </c>
      <c r="C63" s="2" t="s">
        <v>11</v>
      </c>
      <c r="D63">
        <v>111</v>
      </c>
      <c r="E63">
        <v>100</v>
      </c>
      <c r="F63">
        <v>8647.34</v>
      </c>
      <c r="G63">
        <v>0.32757398633829576</v>
      </c>
      <c r="H63">
        <v>4.0825688073394497</v>
      </c>
      <c r="I63">
        <v>7.0000000000000007E-2</v>
      </c>
    </row>
    <row r="64" spans="1:9">
      <c r="A64">
        <v>2017</v>
      </c>
      <c r="B64" s="1">
        <v>42795</v>
      </c>
      <c r="C64" s="2" t="s">
        <v>11</v>
      </c>
      <c r="D64">
        <v>173</v>
      </c>
      <c r="E64">
        <v>159</v>
      </c>
      <c r="F64">
        <v>10775.79</v>
      </c>
      <c r="G64">
        <v>0.32921524663584323</v>
      </c>
      <c r="H64">
        <v>3.8313953488372094</v>
      </c>
      <c r="I64">
        <v>3.7735849056603772E-2</v>
      </c>
    </row>
    <row r="65" spans="1:9">
      <c r="A65">
        <v>2017</v>
      </c>
      <c r="B65" s="1">
        <v>42826</v>
      </c>
      <c r="C65" s="2" t="s">
        <v>11</v>
      </c>
      <c r="D65">
        <v>145</v>
      </c>
      <c r="E65">
        <v>141</v>
      </c>
      <c r="F65">
        <v>9523.9699999999993</v>
      </c>
      <c r="G65">
        <v>0.3549099107356386</v>
      </c>
      <c r="H65">
        <v>4.1888111888111892</v>
      </c>
      <c r="I65">
        <v>7.0921985815602842E-2</v>
      </c>
    </row>
    <row r="66" spans="1:9">
      <c r="A66">
        <v>2017</v>
      </c>
      <c r="B66" s="1">
        <v>42856</v>
      </c>
      <c r="C66" s="2" t="s">
        <v>11</v>
      </c>
      <c r="D66">
        <v>224</v>
      </c>
      <c r="E66">
        <v>204</v>
      </c>
      <c r="F66">
        <v>12650.96</v>
      </c>
      <c r="G66">
        <v>0.36025516378675959</v>
      </c>
      <c r="H66">
        <v>3.8468468468468466</v>
      </c>
      <c r="I66">
        <v>1.9607843137254902E-2</v>
      </c>
    </row>
    <row r="67" spans="1:9">
      <c r="A67">
        <v>2017</v>
      </c>
      <c r="B67" s="1">
        <v>42887</v>
      </c>
      <c r="C67" s="2" t="s">
        <v>11</v>
      </c>
      <c r="D67">
        <v>160</v>
      </c>
      <c r="E67">
        <v>151</v>
      </c>
      <c r="F67">
        <v>9177.4</v>
      </c>
      <c r="G67">
        <v>0.37692033185624035</v>
      </c>
      <c r="H67">
        <v>4.1124999999999998</v>
      </c>
      <c r="I67">
        <v>3.3112582781456956E-2</v>
      </c>
    </row>
    <row r="68" spans="1:9">
      <c r="A68">
        <v>2017</v>
      </c>
      <c r="B68" s="1">
        <v>42917</v>
      </c>
      <c r="C68" s="2" t="s">
        <v>11</v>
      </c>
      <c r="D68">
        <v>145</v>
      </c>
      <c r="E68">
        <v>136</v>
      </c>
      <c r="F68">
        <v>11242.51</v>
      </c>
      <c r="G68">
        <v>0.30845991850826399</v>
      </c>
      <c r="H68">
        <v>4.1862068965517238</v>
      </c>
      <c r="I68">
        <v>2.2058823529411766E-2</v>
      </c>
    </row>
    <row r="69" spans="1:9">
      <c r="A69">
        <v>2017</v>
      </c>
      <c r="B69" s="1">
        <v>42948</v>
      </c>
      <c r="C69" s="2" t="s">
        <v>11</v>
      </c>
      <c r="D69">
        <v>136</v>
      </c>
      <c r="E69">
        <v>131</v>
      </c>
      <c r="F69">
        <v>13224.63</v>
      </c>
      <c r="G69">
        <v>0.27697448693124183</v>
      </c>
      <c r="H69">
        <v>4.0588235294117645</v>
      </c>
      <c r="I69">
        <v>2.2900763358778626E-2</v>
      </c>
    </row>
    <row r="70" spans="1:9">
      <c r="A70">
        <v>2017</v>
      </c>
      <c r="B70" s="1">
        <v>42979</v>
      </c>
      <c r="C70" s="2" t="s">
        <v>11</v>
      </c>
      <c r="D70">
        <v>177</v>
      </c>
      <c r="E70">
        <v>164</v>
      </c>
      <c r="F70">
        <v>21537.96</v>
      </c>
      <c r="G70">
        <v>0.25427315786878069</v>
      </c>
      <c r="H70">
        <v>4.3181818181818183</v>
      </c>
      <c r="I70">
        <v>6.7073170731707321E-2</v>
      </c>
    </row>
    <row r="71" spans="1:9">
      <c r="A71">
        <v>2017</v>
      </c>
      <c r="B71" s="1">
        <v>43009</v>
      </c>
      <c r="C71" s="2" t="s">
        <v>11</v>
      </c>
      <c r="D71">
        <v>253</v>
      </c>
      <c r="E71">
        <v>228</v>
      </c>
      <c r="F71">
        <v>26812.39</v>
      </c>
      <c r="G71">
        <v>0.25575517233152395</v>
      </c>
      <c r="H71">
        <v>4.0522088353413652</v>
      </c>
      <c r="I71">
        <v>4.8245614035087717E-2</v>
      </c>
    </row>
    <row r="72" spans="1:9">
      <c r="A72">
        <v>2017</v>
      </c>
      <c r="B72" s="1">
        <v>43040</v>
      </c>
      <c r="C72" s="2" t="s">
        <v>11</v>
      </c>
      <c r="D72">
        <v>383</v>
      </c>
      <c r="E72">
        <v>351</v>
      </c>
      <c r="F72">
        <v>32415.96</v>
      </c>
      <c r="G72">
        <v>0.28657254724780179</v>
      </c>
      <c r="H72">
        <v>3.7210526315789476</v>
      </c>
      <c r="I72">
        <v>0.13105413105413105</v>
      </c>
    </row>
    <row r="73" spans="1:9">
      <c r="A73">
        <v>2017</v>
      </c>
      <c r="B73" s="1">
        <v>43070</v>
      </c>
      <c r="C73" s="2" t="s">
        <v>11</v>
      </c>
      <c r="D73">
        <v>267</v>
      </c>
      <c r="E73">
        <v>244</v>
      </c>
      <c r="F73">
        <v>17383.240000000002</v>
      </c>
      <c r="G73">
        <v>0.28351858732337037</v>
      </c>
      <c r="H73">
        <v>4.0113636363636367</v>
      </c>
      <c r="I73">
        <v>4.0983606557377046E-2</v>
      </c>
    </row>
    <row r="74" spans="1:9">
      <c r="A74">
        <v>2018</v>
      </c>
      <c r="B74" s="1">
        <v>43101</v>
      </c>
      <c r="C74" s="2" t="s">
        <v>11</v>
      </c>
      <c r="D74">
        <v>372</v>
      </c>
      <c r="E74">
        <v>347</v>
      </c>
      <c r="F74">
        <v>20507.78</v>
      </c>
      <c r="G74">
        <v>0.32111952965256757</v>
      </c>
      <c r="H74">
        <v>3.875</v>
      </c>
      <c r="I74">
        <v>7.7809798270893377E-2</v>
      </c>
    </row>
    <row r="75" spans="1:9">
      <c r="A75">
        <v>2018</v>
      </c>
      <c r="B75" s="1">
        <v>43132</v>
      </c>
      <c r="C75" s="2" t="s">
        <v>11</v>
      </c>
      <c r="D75">
        <v>359</v>
      </c>
      <c r="E75">
        <v>333</v>
      </c>
      <c r="F75">
        <v>18991.43</v>
      </c>
      <c r="G75">
        <v>0.29921960200451692</v>
      </c>
      <c r="H75">
        <v>3.7746478873239435</v>
      </c>
      <c r="I75">
        <v>0.14414414414414414</v>
      </c>
    </row>
    <row r="76" spans="1:9">
      <c r="A76">
        <v>2018</v>
      </c>
      <c r="B76" s="1">
        <v>43160</v>
      </c>
      <c r="C76" s="2" t="s">
        <v>11</v>
      </c>
      <c r="D76">
        <v>344</v>
      </c>
      <c r="E76">
        <v>329</v>
      </c>
      <c r="F76">
        <v>31271.759999999998</v>
      </c>
      <c r="G76">
        <v>0.31170797365539693</v>
      </c>
      <c r="H76">
        <v>3.5395894428152492</v>
      </c>
      <c r="I76">
        <v>0.20060790273556231</v>
      </c>
    </row>
    <row r="77" spans="1:9">
      <c r="A77">
        <v>2018</v>
      </c>
      <c r="B77" s="1">
        <v>43191</v>
      </c>
      <c r="C77" s="2" t="s">
        <v>11</v>
      </c>
      <c r="D77">
        <v>284</v>
      </c>
      <c r="E77">
        <v>250</v>
      </c>
      <c r="F77">
        <v>20829.87</v>
      </c>
      <c r="G77">
        <v>0.28784606418924547</v>
      </c>
      <c r="H77">
        <v>3.8581560283687941</v>
      </c>
      <c r="I77">
        <v>5.1999999999999998E-2</v>
      </c>
    </row>
    <row r="78" spans="1:9">
      <c r="A78">
        <v>2018</v>
      </c>
      <c r="B78" s="1">
        <v>43221</v>
      </c>
      <c r="C78" s="2" t="s">
        <v>11</v>
      </c>
      <c r="D78">
        <v>257</v>
      </c>
      <c r="E78">
        <v>243</v>
      </c>
      <c r="F78">
        <v>25871.71</v>
      </c>
      <c r="G78">
        <v>0.31534822505947097</v>
      </c>
      <c r="H78">
        <v>4.24609375</v>
      </c>
      <c r="I78">
        <v>4.5267489711934158E-2</v>
      </c>
    </row>
    <row r="79" spans="1:9">
      <c r="A79">
        <v>2018</v>
      </c>
      <c r="B79" s="1">
        <v>43252</v>
      </c>
      <c r="C79" s="2" t="s">
        <v>11</v>
      </c>
      <c r="D79">
        <v>219</v>
      </c>
      <c r="E79">
        <v>205</v>
      </c>
      <c r="F79">
        <v>26562.720000000001</v>
      </c>
      <c r="G79">
        <v>0.31718259941290383</v>
      </c>
      <c r="H79">
        <v>4.1422018348623855</v>
      </c>
      <c r="I79">
        <v>4.3902439024390241E-2</v>
      </c>
    </row>
    <row r="80" spans="1:9">
      <c r="A80">
        <v>2018</v>
      </c>
      <c r="B80" s="1">
        <v>43282</v>
      </c>
      <c r="C80" s="2" t="s">
        <v>11</v>
      </c>
      <c r="D80">
        <v>226</v>
      </c>
      <c r="E80">
        <v>206</v>
      </c>
      <c r="F80">
        <v>31071.4</v>
      </c>
      <c r="G80">
        <v>0.26497235284347587</v>
      </c>
      <c r="H80">
        <v>4.0044843049327357</v>
      </c>
      <c r="I80">
        <v>3.3980582524271843E-2</v>
      </c>
    </row>
    <row r="81" spans="1:9">
      <c r="A81">
        <v>2018</v>
      </c>
      <c r="B81" s="1">
        <v>43313</v>
      </c>
      <c r="C81" s="2" t="s">
        <v>11</v>
      </c>
      <c r="D81">
        <v>277</v>
      </c>
      <c r="E81">
        <v>246</v>
      </c>
      <c r="F81">
        <v>42480.9</v>
      </c>
      <c r="G81">
        <v>0.22615817044886785</v>
      </c>
      <c r="H81">
        <v>4.0145454545454546</v>
      </c>
      <c r="I81">
        <v>4.4715447154471545E-2</v>
      </c>
    </row>
    <row r="82" spans="1:9">
      <c r="A82">
        <v>2017</v>
      </c>
      <c r="B82" s="1">
        <v>42767</v>
      </c>
      <c r="C82" s="2" t="s">
        <v>63</v>
      </c>
      <c r="D82">
        <v>8</v>
      </c>
      <c r="E82">
        <v>8</v>
      </c>
      <c r="F82">
        <v>940.52</v>
      </c>
      <c r="G82">
        <v>0.15643055412977336</v>
      </c>
      <c r="H82">
        <v>4.25</v>
      </c>
      <c r="I82">
        <v>0</v>
      </c>
    </row>
    <row r="83" spans="1:9">
      <c r="A83">
        <v>2017</v>
      </c>
      <c r="B83" s="1">
        <v>42795</v>
      </c>
      <c r="C83" s="2" t="s">
        <v>63</v>
      </c>
      <c r="D83">
        <v>5</v>
      </c>
      <c r="E83">
        <v>5</v>
      </c>
      <c r="F83">
        <v>587.91</v>
      </c>
      <c r="G83">
        <v>0.15610788125766492</v>
      </c>
      <c r="H83">
        <v>3.2</v>
      </c>
      <c r="I83">
        <v>0.2</v>
      </c>
    </row>
    <row r="84" spans="1:9">
      <c r="A84">
        <v>2017</v>
      </c>
      <c r="B84" s="1">
        <v>42826</v>
      </c>
      <c r="C84" s="2" t="s">
        <v>63</v>
      </c>
      <c r="D84">
        <v>11</v>
      </c>
      <c r="E84">
        <v>9</v>
      </c>
      <c r="F84">
        <v>1312.23</v>
      </c>
      <c r="G84">
        <v>0.17957430637869162</v>
      </c>
      <c r="H84">
        <v>4</v>
      </c>
      <c r="I84">
        <v>0</v>
      </c>
    </row>
    <row r="85" spans="1:9">
      <c r="A85">
        <v>2017</v>
      </c>
      <c r="B85" s="1">
        <v>42856</v>
      </c>
      <c r="C85" s="2" t="s">
        <v>63</v>
      </c>
      <c r="D85">
        <v>7</v>
      </c>
      <c r="E85">
        <v>7</v>
      </c>
      <c r="F85">
        <v>1607.02</v>
      </c>
      <c r="G85">
        <v>8.738481265401403E-2</v>
      </c>
      <c r="H85">
        <v>4.8</v>
      </c>
      <c r="I85">
        <v>0.14285714285714285</v>
      </c>
    </row>
    <row r="86" spans="1:9">
      <c r="A86">
        <v>2017</v>
      </c>
      <c r="B86" s="1">
        <v>42887</v>
      </c>
      <c r="C86" s="2" t="s">
        <v>63</v>
      </c>
      <c r="D86">
        <v>6</v>
      </c>
      <c r="E86">
        <v>6</v>
      </c>
      <c r="F86">
        <v>679.17</v>
      </c>
      <c r="G86">
        <v>0.12313397338929789</v>
      </c>
      <c r="H86">
        <v>5</v>
      </c>
      <c r="I86">
        <v>0</v>
      </c>
    </row>
    <row r="87" spans="1:9">
      <c r="A87">
        <v>2017</v>
      </c>
      <c r="B87" s="1">
        <v>42917</v>
      </c>
      <c r="C87" s="2" t="s">
        <v>63</v>
      </c>
      <c r="D87">
        <v>2</v>
      </c>
      <c r="E87">
        <v>2</v>
      </c>
      <c r="F87">
        <v>219.63</v>
      </c>
      <c r="G87">
        <v>9.8342454614508829E-2</v>
      </c>
      <c r="H87">
        <v>3.5</v>
      </c>
      <c r="I87">
        <v>0</v>
      </c>
    </row>
    <row r="88" spans="1:9">
      <c r="A88">
        <v>2017</v>
      </c>
      <c r="B88" s="1">
        <v>42948</v>
      </c>
      <c r="C88" s="2" t="s">
        <v>63</v>
      </c>
      <c r="D88">
        <v>6</v>
      </c>
      <c r="E88">
        <v>6</v>
      </c>
      <c r="F88">
        <v>557.82000000000005</v>
      </c>
      <c r="G88">
        <v>0.24545087843169666</v>
      </c>
      <c r="H88">
        <v>4.166666666666667</v>
      </c>
      <c r="I88">
        <v>0</v>
      </c>
    </row>
    <row r="89" spans="1:9">
      <c r="A89">
        <v>2017</v>
      </c>
      <c r="B89" s="1">
        <v>42979</v>
      </c>
      <c r="C89" s="2" t="s">
        <v>63</v>
      </c>
      <c r="D89">
        <v>3</v>
      </c>
      <c r="E89">
        <v>3</v>
      </c>
      <c r="F89">
        <v>279.88</v>
      </c>
      <c r="G89">
        <v>0.188638051049384</v>
      </c>
      <c r="H89">
        <v>3.6666666666666665</v>
      </c>
      <c r="I89">
        <v>0</v>
      </c>
    </row>
    <row r="90" spans="1:9">
      <c r="A90">
        <v>2017</v>
      </c>
      <c r="B90" s="1">
        <v>43009</v>
      </c>
      <c r="C90" s="2" t="s">
        <v>63</v>
      </c>
      <c r="D90">
        <v>1</v>
      </c>
      <c r="E90">
        <v>1</v>
      </c>
      <c r="F90">
        <v>111.19</v>
      </c>
      <c r="G90">
        <v>0.10963216116557245</v>
      </c>
      <c r="H90">
        <v>4</v>
      </c>
      <c r="I90">
        <v>0</v>
      </c>
    </row>
    <row r="91" spans="1:9">
      <c r="A91">
        <v>2017</v>
      </c>
      <c r="B91" s="1">
        <v>43040</v>
      </c>
      <c r="C91" s="2" t="s">
        <v>63</v>
      </c>
      <c r="D91">
        <v>6</v>
      </c>
      <c r="E91">
        <v>6</v>
      </c>
      <c r="F91">
        <v>442.39</v>
      </c>
      <c r="G91">
        <v>0.24864879868441103</v>
      </c>
      <c r="H91">
        <v>4</v>
      </c>
      <c r="I91">
        <v>0</v>
      </c>
    </row>
    <row r="92" spans="1:9">
      <c r="A92">
        <v>2017</v>
      </c>
      <c r="B92" s="1">
        <v>43070</v>
      </c>
      <c r="C92" s="2" t="s">
        <v>63</v>
      </c>
      <c r="D92">
        <v>6</v>
      </c>
      <c r="E92">
        <v>6</v>
      </c>
      <c r="F92">
        <v>475.02</v>
      </c>
      <c r="G92">
        <v>0.11708980674497915</v>
      </c>
      <c r="H92">
        <v>4.666666666666667</v>
      </c>
      <c r="I92">
        <v>0</v>
      </c>
    </row>
    <row r="93" spans="1:9">
      <c r="A93">
        <v>2018</v>
      </c>
      <c r="B93" s="1">
        <v>43101</v>
      </c>
      <c r="C93" s="2" t="s">
        <v>63</v>
      </c>
      <c r="D93">
        <v>3</v>
      </c>
      <c r="E93">
        <v>3</v>
      </c>
      <c r="F93">
        <v>186.77</v>
      </c>
      <c r="G93">
        <v>0.13376297282824401</v>
      </c>
      <c r="H93">
        <v>4.333333333333333</v>
      </c>
      <c r="I93">
        <v>0.33333333333333331</v>
      </c>
    </row>
    <row r="94" spans="1:9">
      <c r="A94">
        <v>2018</v>
      </c>
      <c r="B94" s="1">
        <v>43132</v>
      </c>
      <c r="C94" s="2" t="s">
        <v>63</v>
      </c>
      <c r="D94">
        <v>13</v>
      </c>
      <c r="E94">
        <v>12</v>
      </c>
      <c r="F94">
        <v>866.49</v>
      </c>
      <c r="G94">
        <v>0.19378242816800448</v>
      </c>
      <c r="H94">
        <v>3.5384615384615383</v>
      </c>
      <c r="I94">
        <v>0.16666666666666666</v>
      </c>
    </row>
    <row r="95" spans="1:9">
      <c r="A95">
        <v>2018</v>
      </c>
      <c r="B95" s="1">
        <v>43160</v>
      </c>
      <c r="C95" s="2" t="s">
        <v>63</v>
      </c>
      <c r="D95">
        <v>3</v>
      </c>
      <c r="E95">
        <v>2</v>
      </c>
      <c r="F95">
        <v>287.29000000000002</v>
      </c>
      <c r="G95">
        <v>0.10382908524235589</v>
      </c>
      <c r="H95">
        <v>4.666666666666667</v>
      </c>
      <c r="I95">
        <v>0</v>
      </c>
    </row>
    <row r="96" spans="1:9">
      <c r="A96">
        <v>2018</v>
      </c>
      <c r="B96" s="1">
        <v>43191</v>
      </c>
      <c r="C96" s="2" t="s">
        <v>63</v>
      </c>
      <c r="D96">
        <v>1</v>
      </c>
      <c r="E96">
        <v>1</v>
      </c>
      <c r="F96">
        <v>70.239999999999995</v>
      </c>
      <c r="G96">
        <v>0.25968109339407747</v>
      </c>
      <c r="H96">
        <v>5</v>
      </c>
      <c r="I96">
        <v>0</v>
      </c>
    </row>
    <row r="97" spans="1:9">
      <c r="A97">
        <v>2018</v>
      </c>
      <c r="B97" s="1">
        <v>43221</v>
      </c>
      <c r="C97" s="2" t="s">
        <v>63</v>
      </c>
      <c r="D97">
        <v>1</v>
      </c>
      <c r="E97">
        <v>1</v>
      </c>
      <c r="F97">
        <v>58.19</v>
      </c>
      <c r="G97">
        <v>0.14246434095205363</v>
      </c>
      <c r="H97">
        <v>5</v>
      </c>
      <c r="I97">
        <v>0</v>
      </c>
    </row>
    <row r="98" spans="1:9">
      <c r="A98">
        <v>2018</v>
      </c>
      <c r="B98" s="1">
        <v>43252</v>
      </c>
      <c r="C98" s="2" t="s">
        <v>63</v>
      </c>
      <c r="D98">
        <v>1</v>
      </c>
      <c r="E98">
        <v>1</v>
      </c>
      <c r="F98">
        <v>72.849999999999994</v>
      </c>
      <c r="G98">
        <v>0.31365820178448867</v>
      </c>
      <c r="H98">
        <v>4</v>
      </c>
      <c r="I98">
        <v>0</v>
      </c>
    </row>
    <row r="99" spans="1:9">
      <c r="A99">
        <v>2017</v>
      </c>
      <c r="B99" s="1">
        <v>42736</v>
      </c>
      <c r="C99" s="2" t="s">
        <v>55</v>
      </c>
      <c r="D99">
        <v>14</v>
      </c>
      <c r="E99">
        <v>7</v>
      </c>
      <c r="F99">
        <v>1754.61</v>
      </c>
      <c r="G99">
        <v>0.14583698110170054</v>
      </c>
      <c r="H99">
        <v>4.7857142857142856</v>
      </c>
      <c r="I99">
        <v>0</v>
      </c>
    </row>
    <row r="100" spans="1:9">
      <c r="A100">
        <v>2017</v>
      </c>
      <c r="B100" s="1">
        <v>42767</v>
      </c>
      <c r="C100" s="2" t="s">
        <v>55</v>
      </c>
      <c r="D100">
        <v>19</v>
      </c>
      <c r="E100">
        <v>19</v>
      </c>
      <c r="F100">
        <v>2646.03</v>
      </c>
      <c r="G100">
        <v>0.15308393768784373</v>
      </c>
      <c r="H100">
        <v>4.5263157894736841</v>
      </c>
      <c r="I100">
        <v>5.2631578947368418E-2</v>
      </c>
    </row>
    <row r="101" spans="1:9">
      <c r="A101">
        <v>2017</v>
      </c>
      <c r="B101" s="1">
        <v>42795</v>
      </c>
      <c r="C101" s="2" t="s">
        <v>55</v>
      </c>
      <c r="D101">
        <v>56</v>
      </c>
      <c r="E101">
        <v>56</v>
      </c>
      <c r="F101">
        <v>6994.89</v>
      </c>
      <c r="G101">
        <v>0.20636754576503161</v>
      </c>
      <c r="H101">
        <v>4.5999999999999996</v>
      </c>
      <c r="I101">
        <v>0</v>
      </c>
    </row>
    <row r="102" spans="1:9">
      <c r="A102">
        <v>2017</v>
      </c>
      <c r="B102" s="1">
        <v>42826</v>
      </c>
      <c r="C102" s="2" t="s">
        <v>55</v>
      </c>
      <c r="D102">
        <v>36</v>
      </c>
      <c r="E102">
        <v>36</v>
      </c>
      <c r="F102">
        <v>5197.2</v>
      </c>
      <c r="G102">
        <v>0.16552046081972951</v>
      </c>
      <c r="H102">
        <v>4.3888888888888893</v>
      </c>
      <c r="I102">
        <v>5.5555555555555552E-2</v>
      </c>
    </row>
    <row r="103" spans="1:9">
      <c r="A103">
        <v>2017</v>
      </c>
      <c r="B103" s="1">
        <v>42856</v>
      </c>
      <c r="C103" s="2" t="s">
        <v>55</v>
      </c>
      <c r="D103">
        <v>66</v>
      </c>
      <c r="E103">
        <v>62</v>
      </c>
      <c r="F103">
        <v>7147.63</v>
      </c>
      <c r="G103">
        <v>0.19037678099837343</v>
      </c>
      <c r="H103">
        <v>4.3125</v>
      </c>
      <c r="I103">
        <v>1.6129032258064516E-2</v>
      </c>
    </row>
    <row r="104" spans="1:9">
      <c r="A104">
        <v>2017</v>
      </c>
      <c r="B104" s="1">
        <v>42887</v>
      </c>
      <c r="C104" s="2" t="s">
        <v>55</v>
      </c>
      <c r="D104">
        <v>38</v>
      </c>
      <c r="E104">
        <v>37</v>
      </c>
      <c r="F104">
        <v>4176.05</v>
      </c>
      <c r="G104">
        <v>0.19535059645156269</v>
      </c>
      <c r="H104">
        <v>4.3684210526315788</v>
      </c>
      <c r="I104">
        <v>0</v>
      </c>
    </row>
    <row r="105" spans="1:9">
      <c r="A105">
        <v>2017</v>
      </c>
      <c r="B105" s="1">
        <v>42917</v>
      </c>
      <c r="C105" s="2" t="s">
        <v>55</v>
      </c>
      <c r="D105">
        <v>81</v>
      </c>
      <c r="E105">
        <v>75</v>
      </c>
      <c r="F105">
        <v>8490.1299999999992</v>
      </c>
      <c r="G105">
        <v>0.19587671331474385</v>
      </c>
      <c r="H105">
        <v>4.0864197530864201</v>
      </c>
      <c r="I105">
        <v>0.04</v>
      </c>
    </row>
    <row r="106" spans="1:9">
      <c r="A106">
        <v>2017</v>
      </c>
      <c r="B106" s="1">
        <v>42948</v>
      </c>
      <c r="C106" s="2" t="s">
        <v>55</v>
      </c>
      <c r="D106">
        <v>80</v>
      </c>
      <c r="E106">
        <v>75</v>
      </c>
      <c r="F106">
        <v>7885.5</v>
      </c>
      <c r="G106">
        <v>0.23534243065394655</v>
      </c>
      <c r="H106">
        <v>4.5250000000000004</v>
      </c>
      <c r="I106">
        <v>2.6666666666666668E-2</v>
      </c>
    </row>
    <row r="107" spans="1:9">
      <c r="A107">
        <v>2017</v>
      </c>
      <c r="B107" s="1">
        <v>42979</v>
      </c>
      <c r="C107" s="2" t="s">
        <v>55</v>
      </c>
      <c r="D107">
        <v>77</v>
      </c>
      <c r="E107">
        <v>71</v>
      </c>
      <c r="F107">
        <v>7512.65</v>
      </c>
      <c r="G107">
        <v>0.21592119225246137</v>
      </c>
      <c r="H107">
        <v>4.1038961038961039</v>
      </c>
      <c r="I107">
        <v>5.6338028169014086E-2</v>
      </c>
    </row>
    <row r="108" spans="1:9">
      <c r="A108">
        <v>2017</v>
      </c>
      <c r="B108" s="1">
        <v>43009</v>
      </c>
      <c r="C108" s="2" t="s">
        <v>55</v>
      </c>
      <c r="D108">
        <v>101</v>
      </c>
      <c r="E108">
        <v>93</v>
      </c>
      <c r="F108">
        <v>10574.71</v>
      </c>
      <c r="G108">
        <v>0.23473374659066348</v>
      </c>
      <c r="H108">
        <v>3.8217821782178216</v>
      </c>
      <c r="I108">
        <v>3.2258064516129031E-2</v>
      </c>
    </row>
    <row r="109" spans="1:9">
      <c r="A109">
        <v>2017</v>
      </c>
      <c r="B109" s="1">
        <v>43040</v>
      </c>
      <c r="C109" s="2" t="s">
        <v>55</v>
      </c>
      <c r="D109">
        <v>166</v>
      </c>
      <c r="E109">
        <v>152</v>
      </c>
      <c r="F109">
        <v>20139.560000000001</v>
      </c>
      <c r="G109">
        <v>0.19989257545598499</v>
      </c>
      <c r="H109">
        <v>4.3212121212121213</v>
      </c>
      <c r="I109">
        <v>0.1118421052631579</v>
      </c>
    </row>
    <row r="110" spans="1:9">
      <c r="A110">
        <v>2017</v>
      </c>
      <c r="B110" s="1">
        <v>43070</v>
      </c>
      <c r="C110" s="2" t="s">
        <v>55</v>
      </c>
      <c r="D110">
        <v>251</v>
      </c>
      <c r="E110">
        <v>231</v>
      </c>
      <c r="F110">
        <v>30519.99</v>
      </c>
      <c r="G110">
        <v>0.19661150544575667</v>
      </c>
      <c r="H110">
        <v>3.992</v>
      </c>
      <c r="I110">
        <v>8.6580086580086577E-2</v>
      </c>
    </row>
    <row r="111" spans="1:9">
      <c r="A111">
        <v>2018</v>
      </c>
      <c r="B111" s="1">
        <v>43101</v>
      </c>
      <c r="C111" s="2" t="s">
        <v>55</v>
      </c>
      <c r="D111">
        <v>397</v>
      </c>
      <c r="E111">
        <v>379</v>
      </c>
      <c r="F111">
        <v>48033.79</v>
      </c>
      <c r="G111">
        <v>0.17341396466659972</v>
      </c>
      <c r="H111">
        <v>4.1984536082474229</v>
      </c>
      <c r="I111">
        <v>5.8047493403693931E-2</v>
      </c>
    </row>
    <row r="112" spans="1:9">
      <c r="A112">
        <v>2018</v>
      </c>
      <c r="B112" s="1">
        <v>43132</v>
      </c>
      <c r="C112" s="2" t="s">
        <v>55</v>
      </c>
      <c r="D112">
        <v>160</v>
      </c>
      <c r="E112">
        <v>144</v>
      </c>
      <c r="F112">
        <v>14517.81</v>
      </c>
      <c r="G112">
        <v>0.24420558779478058</v>
      </c>
      <c r="H112">
        <v>3.7106918238993711</v>
      </c>
      <c r="I112">
        <v>0.16666666666666666</v>
      </c>
    </row>
    <row r="113" spans="1:9">
      <c r="A113">
        <v>2018</v>
      </c>
      <c r="B113" s="1">
        <v>43160</v>
      </c>
      <c r="C113" s="2" t="s">
        <v>55</v>
      </c>
      <c r="D113">
        <v>164</v>
      </c>
      <c r="E113">
        <v>146</v>
      </c>
      <c r="F113">
        <v>16051.13</v>
      </c>
      <c r="G113">
        <v>0.25202579826421634</v>
      </c>
      <c r="H113">
        <v>3.7407407407407409</v>
      </c>
      <c r="I113">
        <v>0.23287671232876711</v>
      </c>
    </row>
    <row r="114" spans="1:9">
      <c r="A114">
        <v>2018</v>
      </c>
      <c r="B114" s="1">
        <v>43191</v>
      </c>
      <c r="C114" s="2" t="s">
        <v>55</v>
      </c>
      <c r="D114">
        <v>155</v>
      </c>
      <c r="E114">
        <v>131</v>
      </c>
      <c r="F114">
        <v>14308.27</v>
      </c>
      <c r="G114">
        <v>0.25662474778541144</v>
      </c>
      <c r="H114">
        <v>4.1776315789473681</v>
      </c>
      <c r="I114">
        <v>4.5801526717557252E-2</v>
      </c>
    </row>
    <row r="115" spans="1:9">
      <c r="A115">
        <v>2018</v>
      </c>
      <c r="B115" s="1">
        <v>43221</v>
      </c>
      <c r="C115" s="2" t="s">
        <v>55</v>
      </c>
      <c r="D115">
        <v>130</v>
      </c>
      <c r="E115">
        <v>124</v>
      </c>
      <c r="F115">
        <v>15372.31</v>
      </c>
      <c r="G115">
        <v>0.21467476009344599</v>
      </c>
      <c r="H115">
        <v>4.387596899224806</v>
      </c>
      <c r="I115">
        <v>4.8387096774193547E-2</v>
      </c>
    </row>
    <row r="116" spans="1:9">
      <c r="A116">
        <v>2018</v>
      </c>
      <c r="B116" s="1">
        <v>43252</v>
      </c>
      <c r="C116" s="2" t="s">
        <v>55</v>
      </c>
      <c r="D116">
        <v>167</v>
      </c>
      <c r="E116">
        <v>145</v>
      </c>
      <c r="F116">
        <v>16026.05</v>
      </c>
      <c r="G116">
        <v>0.25786671657504512</v>
      </c>
      <c r="H116">
        <v>4.4131736526946108</v>
      </c>
      <c r="I116">
        <v>6.8965517241379309E-3</v>
      </c>
    </row>
    <row r="117" spans="1:9">
      <c r="A117">
        <v>2018</v>
      </c>
      <c r="B117" s="1">
        <v>43282</v>
      </c>
      <c r="C117" s="2" t="s">
        <v>55</v>
      </c>
      <c r="D117">
        <v>191</v>
      </c>
      <c r="E117">
        <v>169</v>
      </c>
      <c r="F117">
        <v>21489.7</v>
      </c>
      <c r="G117">
        <v>0.24615261205563568</v>
      </c>
      <c r="H117">
        <v>4.3473684210526313</v>
      </c>
      <c r="I117">
        <v>4.142011834319527E-2</v>
      </c>
    </row>
    <row r="118" spans="1:9">
      <c r="A118">
        <v>2018</v>
      </c>
      <c r="B118" s="1">
        <v>43313</v>
      </c>
      <c r="C118" s="2" t="s">
        <v>55</v>
      </c>
      <c r="D118">
        <v>170</v>
      </c>
      <c r="E118">
        <v>159</v>
      </c>
      <c r="F118">
        <v>18980.61</v>
      </c>
      <c r="G118">
        <v>0.21531724109975706</v>
      </c>
      <c r="H118">
        <v>4.5798816568047336</v>
      </c>
      <c r="I118">
        <v>8.8050314465408799E-2</v>
      </c>
    </row>
    <row r="119" spans="1:9">
      <c r="A119">
        <v>2017</v>
      </c>
      <c r="B119" s="1">
        <v>42736</v>
      </c>
      <c r="C119" s="2" t="s">
        <v>37</v>
      </c>
      <c r="D119">
        <v>86</v>
      </c>
      <c r="E119">
        <v>62</v>
      </c>
      <c r="F119">
        <v>11856.71</v>
      </c>
      <c r="G119">
        <v>0.22005813407981117</v>
      </c>
      <c r="H119">
        <v>4.0120481927710845</v>
      </c>
      <c r="I119">
        <v>4.8387096774193547E-2</v>
      </c>
    </row>
    <row r="120" spans="1:9">
      <c r="A120">
        <v>2017</v>
      </c>
      <c r="B120" s="1">
        <v>42767</v>
      </c>
      <c r="C120" s="2" t="s">
        <v>37</v>
      </c>
      <c r="D120">
        <v>156</v>
      </c>
      <c r="E120">
        <v>139</v>
      </c>
      <c r="F120">
        <v>19389.03</v>
      </c>
      <c r="G120">
        <v>0.20965140357052317</v>
      </c>
      <c r="H120">
        <v>4.1688311688311686</v>
      </c>
      <c r="I120">
        <v>1.4388489208633094E-2</v>
      </c>
    </row>
    <row r="121" spans="1:9">
      <c r="A121">
        <v>2017</v>
      </c>
      <c r="B121" s="1">
        <v>42795</v>
      </c>
      <c r="C121" s="2" t="s">
        <v>37</v>
      </c>
      <c r="D121">
        <v>199</v>
      </c>
      <c r="E121">
        <v>171</v>
      </c>
      <c r="F121">
        <v>31309.599999999999</v>
      </c>
      <c r="G121">
        <v>0.21432702121785935</v>
      </c>
      <c r="H121">
        <v>4.2113402061855671</v>
      </c>
      <c r="I121">
        <v>3.5087719298245612E-2</v>
      </c>
    </row>
    <row r="122" spans="1:9">
      <c r="A122">
        <v>2017</v>
      </c>
      <c r="B122" s="1">
        <v>42826</v>
      </c>
      <c r="C122" s="2" t="s">
        <v>37</v>
      </c>
      <c r="D122">
        <v>218</v>
      </c>
      <c r="E122">
        <v>198</v>
      </c>
      <c r="F122">
        <v>29121.39</v>
      </c>
      <c r="G122">
        <v>0.21447956729329726</v>
      </c>
      <c r="H122">
        <v>4.0233644859813085</v>
      </c>
      <c r="I122">
        <v>5.5555555555555552E-2</v>
      </c>
    </row>
    <row r="123" spans="1:9">
      <c r="A123">
        <v>2017</v>
      </c>
      <c r="B123" s="1">
        <v>42856</v>
      </c>
      <c r="C123" s="2" t="s">
        <v>37</v>
      </c>
      <c r="D123">
        <v>316</v>
      </c>
      <c r="E123">
        <v>266</v>
      </c>
      <c r="F123">
        <v>42376.95</v>
      </c>
      <c r="G123">
        <v>0.21877177469451217</v>
      </c>
      <c r="H123">
        <v>4.1437699680511182</v>
      </c>
      <c r="I123">
        <v>3.3834586466165412E-2</v>
      </c>
    </row>
    <row r="124" spans="1:9">
      <c r="A124">
        <v>2017</v>
      </c>
      <c r="B124" s="1">
        <v>42887</v>
      </c>
      <c r="C124" s="2" t="s">
        <v>37</v>
      </c>
      <c r="D124">
        <v>278</v>
      </c>
      <c r="E124">
        <v>250</v>
      </c>
      <c r="F124">
        <v>39149.300000000003</v>
      </c>
      <c r="G124">
        <v>0.24075538696334572</v>
      </c>
      <c r="H124">
        <v>4.3639705882352944</v>
      </c>
      <c r="I124">
        <v>4.8000000000000001E-2</v>
      </c>
    </row>
    <row r="125" spans="1:9">
      <c r="A125">
        <v>2017</v>
      </c>
      <c r="B125" s="1">
        <v>42917</v>
      </c>
      <c r="C125" s="2" t="s">
        <v>37</v>
      </c>
      <c r="D125">
        <v>392</v>
      </c>
      <c r="E125">
        <v>337</v>
      </c>
      <c r="F125">
        <v>46679.98</v>
      </c>
      <c r="G125">
        <v>0.21949436648391618</v>
      </c>
      <c r="H125">
        <v>4.170157068062827</v>
      </c>
      <c r="I125">
        <v>2.3738872403560832E-2</v>
      </c>
    </row>
    <row r="126" spans="1:9">
      <c r="A126">
        <v>2017</v>
      </c>
      <c r="B126" s="1">
        <v>42948</v>
      </c>
      <c r="C126" s="2" t="s">
        <v>37</v>
      </c>
      <c r="D126">
        <v>427</v>
      </c>
      <c r="E126">
        <v>383</v>
      </c>
      <c r="F126">
        <v>49789.39</v>
      </c>
      <c r="G126">
        <v>0.21202027581796554</v>
      </c>
      <c r="H126">
        <v>4.3238770685579198</v>
      </c>
      <c r="I126">
        <v>5.4830287206266322E-2</v>
      </c>
    </row>
    <row r="127" spans="1:9">
      <c r="A127">
        <v>2017</v>
      </c>
      <c r="B127" s="1">
        <v>42979</v>
      </c>
      <c r="C127" s="2" t="s">
        <v>37</v>
      </c>
      <c r="D127">
        <v>464</v>
      </c>
      <c r="E127">
        <v>416</v>
      </c>
      <c r="F127">
        <v>59285.81</v>
      </c>
      <c r="G127">
        <v>0.19875938619830991</v>
      </c>
      <c r="H127">
        <v>4.2258771929824563</v>
      </c>
      <c r="I127">
        <v>2.403846153846154E-2</v>
      </c>
    </row>
    <row r="128" spans="1:9">
      <c r="A128">
        <v>2017</v>
      </c>
      <c r="B128" s="1">
        <v>43009</v>
      </c>
      <c r="C128" s="2" t="s">
        <v>37</v>
      </c>
      <c r="D128">
        <v>474</v>
      </c>
      <c r="E128">
        <v>424</v>
      </c>
      <c r="F128">
        <v>58355.360000000001</v>
      </c>
      <c r="G128">
        <v>0.19894517760138791</v>
      </c>
      <c r="H128">
        <v>4.1391862955032117</v>
      </c>
      <c r="I128">
        <v>3.0660377358490566E-2</v>
      </c>
    </row>
    <row r="129" spans="1:9">
      <c r="A129">
        <v>2017</v>
      </c>
      <c r="B129" s="1">
        <v>43040</v>
      </c>
      <c r="C129" s="2" t="s">
        <v>37</v>
      </c>
      <c r="D129">
        <v>618</v>
      </c>
      <c r="E129">
        <v>557</v>
      </c>
      <c r="F129">
        <v>76573.94</v>
      </c>
      <c r="G129">
        <v>0.19691712364991168</v>
      </c>
      <c r="H129">
        <v>4.1619834710743806</v>
      </c>
      <c r="I129">
        <v>9.6947935368043081E-2</v>
      </c>
    </row>
    <row r="130" spans="1:9">
      <c r="A130">
        <v>2017</v>
      </c>
      <c r="B130" s="1">
        <v>43070</v>
      </c>
      <c r="C130" s="2" t="s">
        <v>37</v>
      </c>
      <c r="D130">
        <v>495</v>
      </c>
      <c r="E130">
        <v>440</v>
      </c>
      <c r="F130">
        <v>69657.100000000006</v>
      </c>
      <c r="G130">
        <v>0.19527251744578517</v>
      </c>
      <c r="H130">
        <v>4.0614754098360653</v>
      </c>
      <c r="I130">
        <v>7.9545454545454544E-2</v>
      </c>
    </row>
    <row r="131" spans="1:9">
      <c r="A131">
        <v>2018</v>
      </c>
      <c r="B131" s="1">
        <v>43101</v>
      </c>
      <c r="C131" s="2" t="s">
        <v>37</v>
      </c>
      <c r="D131">
        <v>656</v>
      </c>
      <c r="E131">
        <v>586</v>
      </c>
      <c r="F131">
        <v>105217.83</v>
      </c>
      <c r="G131">
        <v>0.19128268977927776</v>
      </c>
      <c r="H131">
        <v>3.8646967340590979</v>
      </c>
      <c r="I131">
        <v>5.8020477815699661E-2</v>
      </c>
    </row>
    <row r="132" spans="1:9">
      <c r="A132">
        <v>2018</v>
      </c>
      <c r="B132" s="1">
        <v>43132</v>
      </c>
      <c r="C132" s="2" t="s">
        <v>37</v>
      </c>
      <c r="D132">
        <v>653</v>
      </c>
      <c r="E132">
        <v>585</v>
      </c>
      <c r="F132">
        <v>88286.51</v>
      </c>
      <c r="G132">
        <v>0.18648281479546744</v>
      </c>
      <c r="H132">
        <v>3.7632398753894081</v>
      </c>
      <c r="I132">
        <v>0.15384615384615385</v>
      </c>
    </row>
    <row r="133" spans="1:9">
      <c r="A133">
        <v>2018</v>
      </c>
      <c r="B133" s="1">
        <v>43160</v>
      </c>
      <c r="C133" s="2" t="s">
        <v>37</v>
      </c>
      <c r="D133">
        <v>761</v>
      </c>
      <c r="E133">
        <v>672</v>
      </c>
      <c r="F133">
        <v>100283.39</v>
      </c>
      <c r="G133">
        <v>0.19497813517137269</v>
      </c>
      <c r="H133">
        <v>3.6853333333333333</v>
      </c>
      <c r="I133">
        <v>0.19940476190476192</v>
      </c>
    </row>
    <row r="134" spans="1:9">
      <c r="A134">
        <v>2018</v>
      </c>
      <c r="B134" s="1">
        <v>43191</v>
      </c>
      <c r="C134" s="2" t="s">
        <v>37</v>
      </c>
      <c r="D134">
        <v>601</v>
      </c>
      <c r="E134">
        <v>532</v>
      </c>
      <c r="F134">
        <v>79178.17</v>
      </c>
      <c r="G134">
        <v>0.19113591458252197</v>
      </c>
      <c r="H134">
        <v>4.1892797319932997</v>
      </c>
      <c r="I134">
        <v>4.1353383458646614E-2</v>
      </c>
    </row>
    <row r="135" spans="1:9">
      <c r="A135">
        <v>2018</v>
      </c>
      <c r="B135" s="1">
        <v>43221</v>
      </c>
      <c r="C135" s="2" t="s">
        <v>37</v>
      </c>
      <c r="D135">
        <v>492</v>
      </c>
      <c r="E135">
        <v>452</v>
      </c>
      <c r="F135">
        <v>68841.539999999994</v>
      </c>
      <c r="G135">
        <v>0.19216190342334685</v>
      </c>
      <c r="H135">
        <v>4.3061224489795915</v>
      </c>
      <c r="I135">
        <v>7.3008849557522126E-2</v>
      </c>
    </row>
    <row r="136" spans="1:9">
      <c r="A136">
        <v>2018</v>
      </c>
      <c r="B136" s="1">
        <v>43252</v>
      </c>
      <c r="C136" s="2" t="s">
        <v>37</v>
      </c>
      <c r="D136">
        <v>426</v>
      </c>
      <c r="E136">
        <v>377</v>
      </c>
      <c r="F136">
        <v>54825.25</v>
      </c>
      <c r="G136">
        <v>0.21404206920290916</v>
      </c>
      <c r="H136">
        <v>4.3349168646080756</v>
      </c>
      <c r="I136">
        <v>1.0610079575596816E-2</v>
      </c>
    </row>
    <row r="137" spans="1:9">
      <c r="A137">
        <v>2018</v>
      </c>
      <c r="B137" s="1">
        <v>43282</v>
      </c>
      <c r="C137" s="2" t="s">
        <v>37</v>
      </c>
      <c r="D137">
        <v>468</v>
      </c>
      <c r="E137">
        <v>418</v>
      </c>
      <c r="F137">
        <v>65830.02</v>
      </c>
      <c r="G137">
        <v>0.22626892756502828</v>
      </c>
      <c r="H137">
        <v>4.258064516129032</v>
      </c>
      <c r="I137">
        <v>2.6315789473684209E-2</v>
      </c>
    </row>
    <row r="138" spans="1:9">
      <c r="A138">
        <v>2018</v>
      </c>
      <c r="B138" s="1">
        <v>43313</v>
      </c>
      <c r="C138" s="2" t="s">
        <v>37</v>
      </c>
      <c r="D138">
        <v>476</v>
      </c>
      <c r="E138">
        <v>436</v>
      </c>
      <c r="F138">
        <v>60419.199999999997</v>
      </c>
      <c r="G138">
        <v>0.21027343439763832</v>
      </c>
      <c r="H138">
        <v>4.3551797040169129</v>
      </c>
      <c r="I138">
        <v>4.5871559633027525E-2</v>
      </c>
    </row>
    <row r="139" spans="1:9">
      <c r="A139">
        <v>2017</v>
      </c>
      <c r="B139" s="1">
        <v>42887</v>
      </c>
      <c r="C139" s="2" t="s">
        <v>75</v>
      </c>
      <c r="D139">
        <v>1</v>
      </c>
      <c r="E139">
        <v>1</v>
      </c>
      <c r="F139">
        <v>88.65</v>
      </c>
      <c r="G139">
        <v>0.1889452904681331</v>
      </c>
      <c r="H139">
        <v>5</v>
      </c>
      <c r="I139">
        <v>0</v>
      </c>
    </row>
    <row r="140" spans="1:9">
      <c r="A140">
        <v>2017</v>
      </c>
      <c r="B140" s="1">
        <v>42948</v>
      </c>
      <c r="C140" s="2" t="s">
        <v>75</v>
      </c>
      <c r="D140">
        <v>2</v>
      </c>
      <c r="E140">
        <v>2</v>
      </c>
      <c r="F140">
        <v>133.86000000000001</v>
      </c>
      <c r="G140">
        <v>0.240234408816968</v>
      </c>
      <c r="H140">
        <v>2</v>
      </c>
      <c r="I140">
        <v>0</v>
      </c>
    </row>
    <row r="141" spans="1:9">
      <c r="A141">
        <v>2017</v>
      </c>
      <c r="B141" s="1">
        <v>42979</v>
      </c>
      <c r="C141" s="2" t="s">
        <v>75</v>
      </c>
      <c r="D141">
        <v>1</v>
      </c>
      <c r="E141">
        <v>1</v>
      </c>
      <c r="F141">
        <v>673.47</v>
      </c>
      <c r="G141">
        <v>4.8227834944392478E-2</v>
      </c>
      <c r="H141">
        <v>1</v>
      </c>
      <c r="I141">
        <v>0</v>
      </c>
    </row>
    <row r="142" spans="1:9">
      <c r="A142">
        <v>2018</v>
      </c>
      <c r="B142" s="1">
        <v>43101</v>
      </c>
      <c r="C142" s="2" t="s">
        <v>75</v>
      </c>
      <c r="D142">
        <v>1</v>
      </c>
      <c r="E142">
        <v>1</v>
      </c>
      <c r="F142">
        <v>385.13</v>
      </c>
      <c r="G142">
        <v>3.9311401345000392E-2</v>
      </c>
      <c r="H142">
        <v>5</v>
      </c>
      <c r="I142">
        <v>0</v>
      </c>
    </row>
    <row r="143" spans="1:9">
      <c r="A143">
        <v>2018</v>
      </c>
      <c r="B143" s="1">
        <v>43132</v>
      </c>
      <c r="C143" s="2" t="s">
        <v>75</v>
      </c>
      <c r="D143">
        <v>5</v>
      </c>
      <c r="E143">
        <v>5</v>
      </c>
      <c r="F143">
        <v>3213.64</v>
      </c>
      <c r="G143">
        <v>0.10902939348050519</v>
      </c>
      <c r="H143">
        <v>3.25</v>
      </c>
      <c r="I143">
        <v>0.2</v>
      </c>
    </row>
    <row r="144" spans="1:9">
      <c r="A144">
        <v>2018</v>
      </c>
      <c r="B144" s="1">
        <v>43160</v>
      </c>
      <c r="C144" s="2" t="s">
        <v>75</v>
      </c>
      <c r="D144">
        <v>7</v>
      </c>
      <c r="E144">
        <v>7</v>
      </c>
      <c r="F144">
        <v>8220.48</v>
      </c>
      <c r="G144">
        <v>5.5637980900233232E-2</v>
      </c>
      <c r="H144">
        <v>4.8571428571428568</v>
      </c>
      <c r="I144">
        <v>0</v>
      </c>
    </row>
    <row r="145" spans="1:9">
      <c r="A145">
        <v>2018</v>
      </c>
      <c r="B145" s="1">
        <v>43191</v>
      </c>
      <c r="C145" s="2" t="s">
        <v>75</v>
      </c>
      <c r="D145">
        <v>15</v>
      </c>
      <c r="E145">
        <v>15</v>
      </c>
      <c r="F145">
        <v>14769.18</v>
      </c>
      <c r="G145">
        <v>6.0649218258453944E-2</v>
      </c>
      <c r="H145">
        <v>4.0666666666666664</v>
      </c>
      <c r="I145">
        <v>6.6666666666666666E-2</v>
      </c>
    </row>
    <row r="146" spans="1:9">
      <c r="A146">
        <v>2018</v>
      </c>
      <c r="B146" s="1">
        <v>43221</v>
      </c>
      <c r="C146" s="2" t="s">
        <v>75</v>
      </c>
      <c r="D146">
        <v>9</v>
      </c>
      <c r="E146">
        <v>9</v>
      </c>
      <c r="F146">
        <v>10474.540000000001</v>
      </c>
      <c r="G146">
        <v>3.6139559405832161E-2</v>
      </c>
      <c r="H146">
        <v>4.2222222222222223</v>
      </c>
      <c r="I146">
        <v>0.22222222222222221</v>
      </c>
    </row>
    <row r="147" spans="1:9">
      <c r="A147">
        <v>2018</v>
      </c>
      <c r="B147" s="1">
        <v>43252</v>
      </c>
      <c r="C147" s="2" t="s">
        <v>75</v>
      </c>
      <c r="D147">
        <v>3</v>
      </c>
      <c r="E147">
        <v>3</v>
      </c>
      <c r="F147">
        <v>3672.13</v>
      </c>
      <c r="G147">
        <v>5.9482880483613935E-2</v>
      </c>
      <c r="H147">
        <v>5</v>
      </c>
      <c r="I147">
        <v>0</v>
      </c>
    </row>
    <row r="148" spans="1:9">
      <c r="A148">
        <v>2018</v>
      </c>
      <c r="B148" s="1">
        <v>43282</v>
      </c>
      <c r="C148" s="2" t="s">
        <v>75</v>
      </c>
      <c r="D148">
        <v>15</v>
      </c>
      <c r="E148">
        <v>14</v>
      </c>
      <c r="F148">
        <v>5171.3599999999997</v>
      </c>
      <c r="G148">
        <v>0.20480011418797547</v>
      </c>
      <c r="H148">
        <v>4.8666666666666671</v>
      </c>
      <c r="I148">
        <v>0</v>
      </c>
    </row>
    <row r="149" spans="1:9">
      <c r="A149">
        <v>2018</v>
      </c>
      <c r="B149" s="1">
        <v>43313</v>
      </c>
      <c r="C149" s="2" t="s">
        <v>75</v>
      </c>
      <c r="D149">
        <v>17</v>
      </c>
      <c r="E149">
        <v>17</v>
      </c>
      <c r="F149">
        <v>3391.13</v>
      </c>
      <c r="G149">
        <v>0.18231318884968464</v>
      </c>
      <c r="H149">
        <v>4.2941176470588234</v>
      </c>
      <c r="I149">
        <v>0</v>
      </c>
    </row>
    <row r="150" spans="1:9">
      <c r="A150">
        <v>2017</v>
      </c>
      <c r="B150" s="1">
        <v>42736</v>
      </c>
      <c r="C150" s="2" t="s">
        <v>54</v>
      </c>
      <c r="D150">
        <v>6</v>
      </c>
      <c r="E150">
        <v>6</v>
      </c>
      <c r="F150">
        <v>1788.25</v>
      </c>
      <c r="G150">
        <v>0.12618694090837332</v>
      </c>
      <c r="H150">
        <v>4.666666666666667</v>
      </c>
      <c r="I150">
        <v>0.16666666666666666</v>
      </c>
    </row>
    <row r="151" spans="1:9">
      <c r="A151">
        <v>2017</v>
      </c>
      <c r="B151" s="1">
        <v>42767</v>
      </c>
      <c r="C151" s="2" t="s">
        <v>54</v>
      </c>
      <c r="D151">
        <v>28</v>
      </c>
      <c r="E151">
        <v>25</v>
      </c>
      <c r="F151">
        <v>8022.25</v>
      </c>
      <c r="G151">
        <v>0.16506914537125808</v>
      </c>
      <c r="H151">
        <v>4.6785714285714288</v>
      </c>
      <c r="I151">
        <v>0</v>
      </c>
    </row>
    <row r="152" spans="1:9">
      <c r="A152">
        <v>2017</v>
      </c>
      <c r="B152" s="1">
        <v>42795</v>
      </c>
      <c r="C152" s="2" t="s">
        <v>54</v>
      </c>
      <c r="D152">
        <v>31</v>
      </c>
      <c r="E152">
        <v>31</v>
      </c>
      <c r="F152">
        <v>12028.55</v>
      </c>
      <c r="G152">
        <v>0.13965956649454991</v>
      </c>
      <c r="H152">
        <v>4.7</v>
      </c>
      <c r="I152">
        <v>3.2258064516129031E-2</v>
      </c>
    </row>
    <row r="153" spans="1:9">
      <c r="A153">
        <v>2017</v>
      </c>
      <c r="B153" s="1">
        <v>42826</v>
      </c>
      <c r="C153" s="2" t="s">
        <v>54</v>
      </c>
      <c r="D153">
        <v>21</v>
      </c>
      <c r="E153">
        <v>21</v>
      </c>
      <c r="F153">
        <v>24109.81</v>
      </c>
      <c r="G153">
        <v>0.11791992904345852</v>
      </c>
      <c r="H153">
        <v>3.7619047619047619</v>
      </c>
      <c r="I153">
        <v>9.5238095238095233E-2</v>
      </c>
    </row>
    <row r="154" spans="1:9">
      <c r="A154">
        <v>2017</v>
      </c>
      <c r="B154" s="1">
        <v>42856</v>
      </c>
      <c r="C154" s="2" t="s">
        <v>54</v>
      </c>
      <c r="D154">
        <v>18</v>
      </c>
      <c r="E154">
        <v>16</v>
      </c>
      <c r="F154">
        <v>5727.35</v>
      </c>
      <c r="G154">
        <v>0.14363134870673885</v>
      </c>
      <c r="H154">
        <v>4.6111111111111107</v>
      </c>
      <c r="I154">
        <v>0</v>
      </c>
    </row>
    <row r="155" spans="1:9">
      <c r="A155">
        <v>2017</v>
      </c>
      <c r="B155" s="1">
        <v>42887</v>
      </c>
      <c r="C155" s="2" t="s">
        <v>54</v>
      </c>
      <c r="D155">
        <v>23</v>
      </c>
      <c r="E155">
        <v>23</v>
      </c>
      <c r="F155">
        <v>10342.280000000001</v>
      </c>
      <c r="G155">
        <v>0.15066507605985349</v>
      </c>
      <c r="H155">
        <v>3.7272727272727275</v>
      </c>
      <c r="I155">
        <v>0</v>
      </c>
    </row>
    <row r="156" spans="1:9">
      <c r="A156">
        <v>2017</v>
      </c>
      <c r="B156" s="1">
        <v>42917</v>
      </c>
      <c r="C156" s="2" t="s">
        <v>54</v>
      </c>
      <c r="D156">
        <v>34</v>
      </c>
      <c r="E156">
        <v>33</v>
      </c>
      <c r="F156">
        <v>5386.15</v>
      </c>
      <c r="G156">
        <v>0.24632808262251502</v>
      </c>
      <c r="H156">
        <v>3.7058823529411766</v>
      </c>
      <c r="I156">
        <v>3.0303030303030304E-2</v>
      </c>
    </row>
    <row r="157" spans="1:9">
      <c r="A157">
        <v>2017</v>
      </c>
      <c r="B157" s="1">
        <v>42948</v>
      </c>
      <c r="C157" s="2" t="s">
        <v>54</v>
      </c>
      <c r="D157">
        <v>37</v>
      </c>
      <c r="E157">
        <v>32</v>
      </c>
      <c r="F157">
        <v>4871.1899999999996</v>
      </c>
      <c r="G157">
        <v>0.25688814804351684</v>
      </c>
      <c r="H157">
        <v>4.333333333333333</v>
      </c>
      <c r="I157">
        <v>3.125E-2</v>
      </c>
    </row>
    <row r="158" spans="1:9">
      <c r="A158">
        <v>2017</v>
      </c>
      <c r="B158" s="1">
        <v>42979</v>
      </c>
      <c r="C158" s="2" t="s">
        <v>54</v>
      </c>
      <c r="D158">
        <v>33</v>
      </c>
      <c r="E158">
        <v>32</v>
      </c>
      <c r="F158">
        <v>11906.32</v>
      </c>
      <c r="G158">
        <v>0.16833532260530171</v>
      </c>
      <c r="H158">
        <v>4.1212121212121211</v>
      </c>
      <c r="I158">
        <v>3.125E-2</v>
      </c>
    </row>
    <row r="159" spans="1:9">
      <c r="A159">
        <v>2017</v>
      </c>
      <c r="B159" s="1">
        <v>43009</v>
      </c>
      <c r="C159" s="2" t="s">
        <v>54</v>
      </c>
      <c r="D159">
        <v>32</v>
      </c>
      <c r="E159">
        <v>30</v>
      </c>
      <c r="F159">
        <v>7124.64</v>
      </c>
      <c r="G159">
        <v>0.18584819153448001</v>
      </c>
      <c r="H159">
        <v>4.4333333333333336</v>
      </c>
      <c r="I159">
        <v>6.6666666666666666E-2</v>
      </c>
    </row>
    <row r="160" spans="1:9">
      <c r="A160">
        <v>2017</v>
      </c>
      <c r="B160" s="1">
        <v>43040</v>
      </c>
      <c r="C160" s="2" t="s">
        <v>54</v>
      </c>
      <c r="D160">
        <v>32</v>
      </c>
      <c r="E160">
        <v>30</v>
      </c>
      <c r="F160">
        <v>9135.25</v>
      </c>
      <c r="G160">
        <v>0.15864076416165557</v>
      </c>
      <c r="H160">
        <v>3.84375</v>
      </c>
      <c r="I160">
        <v>6.6666666666666666E-2</v>
      </c>
    </row>
    <row r="161" spans="1:9">
      <c r="A161">
        <v>2017</v>
      </c>
      <c r="B161" s="1">
        <v>43070</v>
      </c>
      <c r="C161" s="2" t="s">
        <v>54</v>
      </c>
      <c r="D161">
        <v>29</v>
      </c>
      <c r="E161">
        <v>28</v>
      </c>
      <c r="F161">
        <v>9589.66</v>
      </c>
      <c r="G161">
        <v>0.13045656268569156</v>
      </c>
      <c r="H161">
        <v>3.7586206896551726</v>
      </c>
      <c r="I161">
        <v>3.5714285714285712E-2</v>
      </c>
    </row>
    <row r="162" spans="1:9">
      <c r="A162">
        <v>2018</v>
      </c>
      <c r="B162" s="1">
        <v>43101</v>
      </c>
      <c r="C162" s="2" t="s">
        <v>54</v>
      </c>
      <c r="D162">
        <v>55</v>
      </c>
      <c r="E162">
        <v>52</v>
      </c>
      <c r="F162">
        <v>16841.77</v>
      </c>
      <c r="G162">
        <v>0.12937674666705173</v>
      </c>
      <c r="H162">
        <v>4.3636363636363633</v>
      </c>
      <c r="I162">
        <v>3.8461538461538464E-2</v>
      </c>
    </row>
    <row r="163" spans="1:9">
      <c r="A163">
        <v>2018</v>
      </c>
      <c r="B163" s="1">
        <v>43132</v>
      </c>
      <c r="C163" s="2" t="s">
        <v>54</v>
      </c>
      <c r="D163">
        <v>33</v>
      </c>
      <c r="E163">
        <v>30</v>
      </c>
      <c r="F163">
        <v>6155.36</v>
      </c>
      <c r="G163">
        <v>0.18778110927743841</v>
      </c>
      <c r="H163">
        <v>4</v>
      </c>
      <c r="I163">
        <v>0.1</v>
      </c>
    </row>
    <row r="164" spans="1:9">
      <c r="A164">
        <v>2018</v>
      </c>
      <c r="B164" s="1">
        <v>43160</v>
      </c>
      <c r="C164" s="2" t="s">
        <v>54</v>
      </c>
      <c r="D164">
        <v>37</v>
      </c>
      <c r="E164">
        <v>36</v>
      </c>
      <c r="F164">
        <v>15034.91</v>
      </c>
      <c r="G164">
        <v>0.12323787938138375</v>
      </c>
      <c r="H164">
        <v>3.8611111111111112</v>
      </c>
      <c r="I164">
        <v>0.1111111111111111</v>
      </c>
    </row>
    <row r="165" spans="1:9">
      <c r="A165">
        <v>2018</v>
      </c>
      <c r="B165" s="1">
        <v>43191</v>
      </c>
      <c r="C165" s="2" t="s">
        <v>54</v>
      </c>
      <c r="D165">
        <v>67</v>
      </c>
      <c r="E165">
        <v>61</v>
      </c>
      <c r="F165">
        <v>13454.91</v>
      </c>
      <c r="G165">
        <v>0.23370838622231996</v>
      </c>
      <c r="H165">
        <v>4.3582089552238807</v>
      </c>
      <c r="I165">
        <v>4.9180327868852458E-2</v>
      </c>
    </row>
    <row r="166" spans="1:9">
      <c r="A166">
        <v>2018</v>
      </c>
      <c r="B166" s="1">
        <v>43221</v>
      </c>
      <c r="C166" s="2" t="s">
        <v>54</v>
      </c>
      <c r="D166">
        <v>48</v>
      </c>
      <c r="E166">
        <v>39</v>
      </c>
      <c r="F166">
        <v>11507.33</v>
      </c>
      <c r="G166">
        <v>0.20238016730669633</v>
      </c>
      <c r="H166">
        <v>3.9583333333333335</v>
      </c>
      <c r="I166">
        <v>0.10256410256410256</v>
      </c>
    </row>
    <row r="167" spans="1:9">
      <c r="A167">
        <v>2018</v>
      </c>
      <c r="B167" s="1">
        <v>43252</v>
      </c>
      <c r="C167" s="2" t="s">
        <v>54</v>
      </c>
      <c r="D167">
        <v>50</v>
      </c>
      <c r="E167">
        <v>44</v>
      </c>
      <c r="F167">
        <v>17190.080000000002</v>
      </c>
      <c r="G167">
        <v>0.15434566317956894</v>
      </c>
      <c r="H167">
        <v>3.8979591836734695</v>
      </c>
      <c r="I167">
        <v>0</v>
      </c>
    </row>
    <row r="168" spans="1:9">
      <c r="A168">
        <v>2018</v>
      </c>
      <c r="B168" s="1">
        <v>43282</v>
      </c>
      <c r="C168" s="2" t="s">
        <v>54</v>
      </c>
      <c r="D168">
        <v>43</v>
      </c>
      <c r="E168">
        <v>36</v>
      </c>
      <c r="F168">
        <v>9782.44</v>
      </c>
      <c r="G168">
        <v>0.21053287331944656</v>
      </c>
      <c r="H168">
        <v>4.3488372093023253</v>
      </c>
      <c r="I168">
        <v>2.7777777777777776E-2</v>
      </c>
    </row>
    <row r="169" spans="1:9">
      <c r="A169">
        <v>2018</v>
      </c>
      <c r="B169" s="1">
        <v>43313</v>
      </c>
      <c r="C169" s="2" t="s">
        <v>54</v>
      </c>
      <c r="D169">
        <v>25</v>
      </c>
      <c r="E169">
        <v>25</v>
      </c>
      <c r="F169">
        <v>7486</v>
      </c>
      <c r="G169">
        <v>0.1814082701717625</v>
      </c>
      <c r="H169">
        <v>4</v>
      </c>
      <c r="I169">
        <v>0.04</v>
      </c>
    </row>
    <row r="170" spans="1:9">
      <c r="A170">
        <v>2017</v>
      </c>
      <c r="B170" s="1">
        <v>42795</v>
      </c>
      <c r="C170" s="2" t="s">
        <v>68</v>
      </c>
      <c r="D170">
        <v>1</v>
      </c>
      <c r="E170">
        <v>1</v>
      </c>
      <c r="F170">
        <v>91.23</v>
      </c>
      <c r="G170">
        <v>0.17790200591910554</v>
      </c>
      <c r="H170">
        <v>1</v>
      </c>
      <c r="I170">
        <v>0</v>
      </c>
    </row>
    <row r="171" spans="1:9">
      <c r="A171">
        <v>2017</v>
      </c>
      <c r="B171" s="1">
        <v>42826</v>
      </c>
      <c r="C171" s="2" t="s">
        <v>68</v>
      </c>
      <c r="D171">
        <v>3</v>
      </c>
      <c r="E171">
        <v>3</v>
      </c>
      <c r="F171">
        <v>183.65</v>
      </c>
      <c r="G171">
        <v>0.32797206916403848</v>
      </c>
      <c r="H171">
        <v>4.666666666666667</v>
      </c>
      <c r="I171">
        <v>0</v>
      </c>
    </row>
    <row r="172" spans="1:9">
      <c r="A172">
        <v>2017</v>
      </c>
      <c r="B172" s="1">
        <v>42856</v>
      </c>
      <c r="C172" s="2" t="s">
        <v>68</v>
      </c>
      <c r="D172">
        <v>4</v>
      </c>
      <c r="E172">
        <v>3</v>
      </c>
      <c r="F172">
        <v>775.94</v>
      </c>
      <c r="G172">
        <v>0.44165145388949401</v>
      </c>
      <c r="H172">
        <v>4.75</v>
      </c>
      <c r="I172">
        <v>0</v>
      </c>
    </row>
    <row r="173" spans="1:9">
      <c r="A173">
        <v>2017</v>
      </c>
      <c r="B173" s="1">
        <v>42887</v>
      </c>
      <c r="C173" s="2" t="s">
        <v>68</v>
      </c>
      <c r="D173">
        <v>2</v>
      </c>
      <c r="E173">
        <v>2</v>
      </c>
      <c r="F173">
        <v>345.4</v>
      </c>
      <c r="G173">
        <v>0.2001512209032896</v>
      </c>
      <c r="H173">
        <v>3.5</v>
      </c>
      <c r="I173">
        <v>0</v>
      </c>
    </row>
    <row r="174" spans="1:9">
      <c r="A174">
        <v>2017</v>
      </c>
      <c r="B174" s="1">
        <v>42917</v>
      </c>
      <c r="C174" s="2" t="s">
        <v>68</v>
      </c>
      <c r="D174">
        <v>6</v>
      </c>
      <c r="E174">
        <v>5</v>
      </c>
      <c r="F174">
        <v>684.79</v>
      </c>
      <c r="G174">
        <v>0.28575970269079093</v>
      </c>
      <c r="H174">
        <v>4.5999999999999996</v>
      </c>
      <c r="I174">
        <v>0</v>
      </c>
    </row>
    <row r="175" spans="1:9">
      <c r="A175">
        <v>2017</v>
      </c>
      <c r="B175" s="1">
        <v>42948</v>
      </c>
      <c r="C175" s="2" t="s">
        <v>68</v>
      </c>
      <c r="D175">
        <v>4</v>
      </c>
      <c r="E175">
        <v>4</v>
      </c>
      <c r="F175">
        <v>443.47</v>
      </c>
      <c r="G175">
        <v>0.17722447091631846</v>
      </c>
      <c r="H175">
        <v>4.25</v>
      </c>
      <c r="I175">
        <v>0.25</v>
      </c>
    </row>
    <row r="176" spans="1:9">
      <c r="A176">
        <v>2017</v>
      </c>
      <c r="B176" s="1">
        <v>42979</v>
      </c>
      <c r="C176" s="2" t="s">
        <v>68</v>
      </c>
      <c r="D176">
        <v>9</v>
      </c>
      <c r="E176">
        <v>5</v>
      </c>
      <c r="F176">
        <v>536.54999999999995</v>
      </c>
      <c r="G176">
        <v>0.32833741557857404</v>
      </c>
      <c r="H176">
        <v>4.666666666666667</v>
      </c>
      <c r="I176">
        <v>0</v>
      </c>
    </row>
    <row r="177" spans="1:9">
      <c r="A177">
        <v>2017</v>
      </c>
      <c r="B177" s="1">
        <v>43009</v>
      </c>
      <c r="C177" s="2" t="s">
        <v>68</v>
      </c>
      <c r="D177">
        <v>10</v>
      </c>
      <c r="E177">
        <v>7</v>
      </c>
      <c r="F177">
        <v>907.7</v>
      </c>
      <c r="G177">
        <v>0.36970386814293088</v>
      </c>
      <c r="H177">
        <v>4.4444444444444446</v>
      </c>
      <c r="I177">
        <v>0.14285714285714285</v>
      </c>
    </row>
    <row r="178" spans="1:9">
      <c r="A178">
        <v>2017</v>
      </c>
      <c r="B178" s="1">
        <v>43040</v>
      </c>
      <c r="C178" s="2" t="s">
        <v>68</v>
      </c>
      <c r="D178">
        <v>5</v>
      </c>
      <c r="E178">
        <v>3</v>
      </c>
      <c r="F178">
        <v>792.79</v>
      </c>
      <c r="G178">
        <v>0.25236046812317464</v>
      </c>
      <c r="H178">
        <v>1</v>
      </c>
      <c r="I178">
        <v>0</v>
      </c>
    </row>
    <row r="179" spans="1:9">
      <c r="A179">
        <v>2017</v>
      </c>
      <c r="B179" s="1">
        <v>43070</v>
      </c>
      <c r="C179" s="2" t="s">
        <v>68</v>
      </c>
      <c r="D179">
        <v>2</v>
      </c>
      <c r="E179">
        <v>2</v>
      </c>
      <c r="F179">
        <v>842.44</v>
      </c>
      <c r="G179">
        <v>0.12862439152096261</v>
      </c>
      <c r="H179">
        <v>5</v>
      </c>
      <c r="I179">
        <v>0</v>
      </c>
    </row>
    <row r="180" spans="1:9">
      <c r="A180">
        <v>2018</v>
      </c>
      <c r="B180" s="1">
        <v>43101</v>
      </c>
      <c r="C180" s="2" t="s">
        <v>68</v>
      </c>
      <c r="D180">
        <v>8</v>
      </c>
      <c r="E180">
        <v>7</v>
      </c>
      <c r="F180">
        <v>1295.97</v>
      </c>
      <c r="G180">
        <v>0.2087069867286119</v>
      </c>
      <c r="H180">
        <v>3.625</v>
      </c>
      <c r="I180">
        <v>0.2857142857142857</v>
      </c>
    </row>
    <row r="181" spans="1:9">
      <c r="A181">
        <v>2018</v>
      </c>
      <c r="B181" s="1">
        <v>43132</v>
      </c>
      <c r="C181" s="2" t="s">
        <v>68</v>
      </c>
      <c r="D181">
        <v>15</v>
      </c>
      <c r="E181">
        <v>10</v>
      </c>
      <c r="F181">
        <v>987.67</v>
      </c>
      <c r="G181">
        <v>0.31371874438984115</v>
      </c>
      <c r="H181">
        <v>3.5714285714285716</v>
      </c>
      <c r="I181">
        <v>0.1</v>
      </c>
    </row>
    <row r="182" spans="1:9">
      <c r="A182">
        <v>2018</v>
      </c>
      <c r="B182" s="1">
        <v>43160</v>
      </c>
      <c r="C182" s="2" t="s">
        <v>68</v>
      </c>
      <c r="D182">
        <v>9</v>
      </c>
      <c r="E182">
        <v>7</v>
      </c>
      <c r="F182">
        <v>1079.56</v>
      </c>
      <c r="G182">
        <v>0.19774958745142657</v>
      </c>
      <c r="H182">
        <v>3.8888888888888888</v>
      </c>
      <c r="I182">
        <v>0.42857142857142855</v>
      </c>
    </row>
    <row r="183" spans="1:9">
      <c r="A183">
        <v>2018</v>
      </c>
      <c r="B183" s="1">
        <v>43191</v>
      </c>
      <c r="C183" s="2" t="s">
        <v>68</v>
      </c>
      <c r="D183">
        <v>36</v>
      </c>
      <c r="E183">
        <v>22</v>
      </c>
      <c r="F183">
        <v>2951.28</v>
      </c>
      <c r="G183">
        <v>0.40095119022815773</v>
      </c>
      <c r="H183">
        <v>4.166666666666667</v>
      </c>
      <c r="I183">
        <v>0</v>
      </c>
    </row>
    <row r="184" spans="1:9">
      <c r="A184">
        <v>2018</v>
      </c>
      <c r="B184" s="1">
        <v>43221</v>
      </c>
      <c r="C184" s="2" t="s">
        <v>68</v>
      </c>
      <c r="D184">
        <v>7</v>
      </c>
      <c r="E184">
        <v>6</v>
      </c>
      <c r="F184">
        <v>862.99</v>
      </c>
      <c r="G184">
        <v>0.2674774313107256</v>
      </c>
      <c r="H184">
        <v>4</v>
      </c>
      <c r="I184">
        <v>0</v>
      </c>
    </row>
    <row r="185" spans="1:9">
      <c r="A185">
        <v>2018</v>
      </c>
      <c r="B185" s="1">
        <v>43252</v>
      </c>
      <c r="C185" s="2" t="s">
        <v>68</v>
      </c>
      <c r="D185">
        <v>27</v>
      </c>
      <c r="E185">
        <v>18</v>
      </c>
      <c r="F185">
        <v>6940.76</v>
      </c>
      <c r="G185">
        <v>0.20037780706741723</v>
      </c>
      <c r="H185">
        <v>3.9629629629629628</v>
      </c>
      <c r="I185">
        <v>0</v>
      </c>
    </row>
    <row r="186" spans="1:9">
      <c r="A186">
        <v>2018</v>
      </c>
      <c r="B186" s="1">
        <v>43282</v>
      </c>
      <c r="C186" s="2" t="s">
        <v>68</v>
      </c>
      <c r="D186">
        <v>29</v>
      </c>
      <c r="E186">
        <v>19</v>
      </c>
      <c r="F186">
        <v>6136.19</v>
      </c>
      <c r="G186">
        <v>0.29435669125579245</v>
      </c>
      <c r="H186">
        <v>4.2758620689655169</v>
      </c>
      <c r="I186">
        <v>0</v>
      </c>
    </row>
    <row r="187" spans="1:9">
      <c r="A187">
        <v>2018</v>
      </c>
      <c r="B187" s="1">
        <v>43313</v>
      </c>
      <c r="C187" s="2" t="s">
        <v>68</v>
      </c>
      <c r="D187">
        <v>22</v>
      </c>
      <c r="E187">
        <v>16</v>
      </c>
      <c r="F187">
        <v>2158.67</v>
      </c>
      <c r="G187">
        <v>0.19965175677945113</v>
      </c>
      <c r="H187">
        <v>4.5</v>
      </c>
      <c r="I187">
        <v>0</v>
      </c>
    </row>
    <row r="188" spans="1:9">
      <c r="A188">
        <v>2017</v>
      </c>
      <c r="B188" s="1">
        <v>42736</v>
      </c>
      <c r="C188" s="2" t="s">
        <v>53</v>
      </c>
      <c r="D188">
        <v>1</v>
      </c>
      <c r="E188">
        <v>1</v>
      </c>
      <c r="F188">
        <v>209.06</v>
      </c>
      <c r="G188">
        <v>0.12326604802449058</v>
      </c>
      <c r="H188">
        <v>4</v>
      </c>
      <c r="I188">
        <v>0</v>
      </c>
    </row>
    <row r="189" spans="1:9">
      <c r="A189">
        <v>2017</v>
      </c>
      <c r="B189" s="1">
        <v>42979</v>
      </c>
      <c r="C189" s="2" t="s">
        <v>53</v>
      </c>
      <c r="D189">
        <v>1</v>
      </c>
      <c r="E189">
        <v>1</v>
      </c>
      <c r="F189">
        <v>115.45</v>
      </c>
      <c r="G189">
        <v>0.13382416630576008</v>
      </c>
      <c r="H189">
        <v>1</v>
      </c>
      <c r="I189">
        <v>0</v>
      </c>
    </row>
    <row r="190" spans="1:9">
      <c r="A190">
        <v>2017</v>
      </c>
      <c r="B190" s="1">
        <v>42736</v>
      </c>
      <c r="C190" s="2" t="s">
        <v>36</v>
      </c>
      <c r="D190">
        <v>15</v>
      </c>
      <c r="E190">
        <v>13</v>
      </c>
      <c r="F190">
        <v>1182.3900000000001</v>
      </c>
      <c r="G190">
        <v>0.29999887930992525</v>
      </c>
      <c r="H190">
        <v>4.2</v>
      </c>
      <c r="I190">
        <v>0</v>
      </c>
    </row>
    <row r="191" spans="1:9">
      <c r="A191">
        <v>2017</v>
      </c>
      <c r="B191" s="1">
        <v>42767</v>
      </c>
      <c r="C191" s="2" t="s">
        <v>36</v>
      </c>
      <c r="D191">
        <v>40</v>
      </c>
      <c r="E191">
        <v>37</v>
      </c>
      <c r="F191">
        <v>4510.88</v>
      </c>
      <c r="G191">
        <v>0.2041468947625881</v>
      </c>
      <c r="H191">
        <v>4.3250000000000002</v>
      </c>
      <c r="I191">
        <v>0</v>
      </c>
    </row>
    <row r="192" spans="1:9">
      <c r="A192">
        <v>2017</v>
      </c>
      <c r="B192" s="1">
        <v>42795</v>
      </c>
      <c r="C192" s="2" t="s">
        <v>36</v>
      </c>
      <c r="D192">
        <v>45</v>
      </c>
      <c r="E192">
        <v>41</v>
      </c>
      <c r="F192">
        <v>9151.69</v>
      </c>
      <c r="G192">
        <v>0.17407624321095411</v>
      </c>
      <c r="H192">
        <v>4.333333333333333</v>
      </c>
      <c r="I192">
        <v>7.3170731707317069E-2</v>
      </c>
    </row>
    <row r="193" spans="1:9">
      <c r="A193">
        <v>2017</v>
      </c>
      <c r="B193" s="1">
        <v>42826</v>
      </c>
      <c r="C193" s="2" t="s">
        <v>36</v>
      </c>
      <c r="D193">
        <v>51</v>
      </c>
      <c r="E193">
        <v>46</v>
      </c>
      <c r="F193">
        <v>7126.84</v>
      </c>
      <c r="G193">
        <v>0.19902858774241172</v>
      </c>
      <c r="H193">
        <v>4.04</v>
      </c>
      <c r="I193">
        <v>8.6956521739130432E-2</v>
      </c>
    </row>
    <row r="194" spans="1:9">
      <c r="A194">
        <v>2017</v>
      </c>
      <c r="B194" s="1">
        <v>42856</v>
      </c>
      <c r="C194" s="2" t="s">
        <v>36</v>
      </c>
      <c r="D194">
        <v>73</v>
      </c>
      <c r="E194">
        <v>66</v>
      </c>
      <c r="F194">
        <v>9646.52</v>
      </c>
      <c r="G194">
        <v>0.24039604247273935</v>
      </c>
      <c r="H194">
        <v>4.4246575342465757</v>
      </c>
      <c r="I194">
        <v>4.5454545454545456E-2</v>
      </c>
    </row>
    <row r="195" spans="1:9">
      <c r="A195">
        <v>2017</v>
      </c>
      <c r="B195" s="1">
        <v>42887</v>
      </c>
      <c r="C195" s="2" t="s">
        <v>36</v>
      </c>
      <c r="D195">
        <v>64</v>
      </c>
      <c r="E195">
        <v>61</v>
      </c>
      <c r="F195">
        <v>6445.03</v>
      </c>
      <c r="G195">
        <v>0.21999482890389319</v>
      </c>
      <c r="H195">
        <v>4.387096774193548</v>
      </c>
      <c r="I195">
        <v>3.2786885245901641E-2</v>
      </c>
    </row>
    <row r="196" spans="1:9">
      <c r="A196">
        <v>2017</v>
      </c>
      <c r="B196" s="1">
        <v>42917</v>
      </c>
      <c r="C196" s="2" t="s">
        <v>36</v>
      </c>
      <c r="D196">
        <v>86</v>
      </c>
      <c r="E196">
        <v>71</v>
      </c>
      <c r="F196">
        <v>8318.98</v>
      </c>
      <c r="G196">
        <v>0.23965115117775332</v>
      </c>
      <c r="H196">
        <v>3.7209302325581395</v>
      </c>
      <c r="I196">
        <v>2.8169014084507043E-2</v>
      </c>
    </row>
    <row r="197" spans="1:9">
      <c r="A197">
        <v>2017</v>
      </c>
      <c r="B197" s="1">
        <v>42948</v>
      </c>
      <c r="C197" s="2" t="s">
        <v>36</v>
      </c>
      <c r="D197">
        <v>90</v>
      </c>
      <c r="E197">
        <v>76</v>
      </c>
      <c r="F197">
        <v>12222.61</v>
      </c>
      <c r="G197">
        <v>0.21536898985080166</v>
      </c>
      <c r="H197">
        <v>4.2359550561797752</v>
      </c>
      <c r="I197">
        <v>0</v>
      </c>
    </row>
    <row r="198" spans="1:9">
      <c r="A198">
        <v>2017</v>
      </c>
      <c r="B198" s="1">
        <v>42979</v>
      </c>
      <c r="C198" s="2" t="s">
        <v>36</v>
      </c>
      <c r="D198">
        <v>71</v>
      </c>
      <c r="E198">
        <v>62</v>
      </c>
      <c r="F198">
        <v>9875.16</v>
      </c>
      <c r="G198">
        <v>0.19781634774859483</v>
      </c>
      <c r="H198">
        <v>4.3</v>
      </c>
      <c r="I198">
        <v>3.2258064516129031E-2</v>
      </c>
    </row>
    <row r="199" spans="1:9">
      <c r="A199">
        <v>2017</v>
      </c>
      <c r="B199" s="1">
        <v>43009</v>
      </c>
      <c r="C199" s="2" t="s">
        <v>36</v>
      </c>
      <c r="D199">
        <v>76</v>
      </c>
      <c r="E199">
        <v>64</v>
      </c>
      <c r="F199">
        <v>9623.98</v>
      </c>
      <c r="G199">
        <v>0.19802602649507589</v>
      </c>
      <c r="H199">
        <v>3.9078947368421053</v>
      </c>
      <c r="I199">
        <v>7.8125E-2</v>
      </c>
    </row>
    <row r="200" spans="1:9">
      <c r="A200">
        <v>2017</v>
      </c>
      <c r="B200" s="1">
        <v>43040</v>
      </c>
      <c r="C200" s="2" t="s">
        <v>36</v>
      </c>
      <c r="D200">
        <v>99</v>
      </c>
      <c r="E200">
        <v>84</v>
      </c>
      <c r="F200">
        <v>13434.51</v>
      </c>
      <c r="G200">
        <v>0.21393943409812788</v>
      </c>
      <c r="H200">
        <v>4.2244897959183669</v>
      </c>
      <c r="I200">
        <v>7.1428571428571425E-2</v>
      </c>
    </row>
    <row r="201" spans="1:9">
      <c r="A201">
        <v>2017</v>
      </c>
      <c r="B201" s="1">
        <v>43070</v>
      </c>
      <c r="C201" s="2" t="s">
        <v>36</v>
      </c>
      <c r="D201">
        <v>74</v>
      </c>
      <c r="E201">
        <v>71</v>
      </c>
      <c r="F201">
        <v>8757.26</v>
      </c>
      <c r="G201">
        <v>0.20979661795235544</v>
      </c>
      <c r="H201">
        <v>4.2054794520547949</v>
      </c>
      <c r="I201">
        <v>9.8591549295774641E-2</v>
      </c>
    </row>
    <row r="202" spans="1:9">
      <c r="A202">
        <v>2018</v>
      </c>
      <c r="B202" s="1">
        <v>43101</v>
      </c>
      <c r="C202" s="2" t="s">
        <v>36</v>
      </c>
      <c r="D202">
        <v>90</v>
      </c>
      <c r="E202">
        <v>77</v>
      </c>
      <c r="F202">
        <v>12687.61</v>
      </c>
      <c r="G202">
        <v>0.20831447684326515</v>
      </c>
      <c r="H202">
        <v>4.0568181818181817</v>
      </c>
      <c r="I202">
        <v>1.2987012987012988E-2</v>
      </c>
    </row>
    <row r="203" spans="1:9">
      <c r="A203">
        <v>2018</v>
      </c>
      <c r="B203" s="1">
        <v>43132</v>
      </c>
      <c r="C203" s="2" t="s">
        <v>36</v>
      </c>
      <c r="D203">
        <v>102</v>
      </c>
      <c r="E203">
        <v>89</v>
      </c>
      <c r="F203">
        <v>11740.76</v>
      </c>
      <c r="G203">
        <v>0.19519253343335694</v>
      </c>
      <c r="H203">
        <v>3.9801980198019802</v>
      </c>
      <c r="I203">
        <v>0.12359550561797752</v>
      </c>
    </row>
    <row r="204" spans="1:9">
      <c r="A204">
        <v>2018</v>
      </c>
      <c r="B204" s="1">
        <v>43160</v>
      </c>
      <c r="C204" s="2" t="s">
        <v>36</v>
      </c>
      <c r="D204">
        <v>124</v>
      </c>
      <c r="E204">
        <v>110</v>
      </c>
      <c r="F204">
        <v>16345.24</v>
      </c>
      <c r="G204">
        <v>0.20309608296961656</v>
      </c>
      <c r="H204">
        <v>3.6693548387096775</v>
      </c>
      <c r="I204">
        <v>0.2</v>
      </c>
    </row>
    <row r="205" spans="1:9">
      <c r="A205">
        <v>2018</v>
      </c>
      <c r="B205" s="1">
        <v>43191</v>
      </c>
      <c r="C205" s="2" t="s">
        <v>36</v>
      </c>
      <c r="D205">
        <v>170</v>
      </c>
      <c r="E205">
        <v>153</v>
      </c>
      <c r="F205">
        <v>22383.32</v>
      </c>
      <c r="G205">
        <v>0.1952516142882732</v>
      </c>
      <c r="H205">
        <v>4.1242603550295858</v>
      </c>
      <c r="I205">
        <v>4.5751633986928102E-2</v>
      </c>
    </row>
    <row r="206" spans="1:9">
      <c r="A206">
        <v>2018</v>
      </c>
      <c r="B206" s="1">
        <v>43221</v>
      </c>
      <c r="C206" s="2" t="s">
        <v>36</v>
      </c>
      <c r="D206">
        <v>136</v>
      </c>
      <c r="E206">
        <v>127</v>
      </c>
      <c r="F206">
        <v>14084.07</v>
      </c>
      <c r="G206">
        <v>0.2063575353092561</v>
      </c>
      <c r="H206">
        <v>4.2370370370370374</v>
      </c>
      <c r="I206">
        <v>4.7244094488188976E-2</v>
      </c>
    </row>
    <row r="207" spans="1:9">
      <c r="A207">
        <v>2018</v>
      </c>
      <c r="B207" s="1">
        <v>43252</v>
      </c>
      <c r="C207" s="2" t="s">
        <v>36</v>
      </c>
      <c r="D207">
        <v>178</v>
      </c>
      <c r="E207">
        <v>151</v>
      </c>
      <c r="F207">
        <v>23421.37</v>
      </c>
      <c r="G207">
        <v>0.20973410986009264</v>
      </c>
      <c r="H207">
        <v>4.382022471910112</v>
      </c>
      <c r="I207">
        <v>6.6225165562913907E-3</v>
      </c>
    </row>
    <row r="208" spans="1:9">
      <c r="A208">
        <v>2018</v>
      </c>
      <c r="B208" s="1">
        <v>43282</v>
      </c>
      <c r="C208" s="2" t="s">
        <v>36</v>
      </c>
      <c r="D208">
        <v>160</v>
      </c>
      <c r="E208">
        <v>140</v>
      </c>
      <c r="F208">
        <v>23358.39</v>
      </c>
      <c r="G208">
        <v>0.20882686664953193</v>
      </c>
      <c r="H208">
        <v>4.3773584905660377</v>
      </c>
      <c r="I208">
        <v>1.4285714285714285E-2</v>
      </c>
    </row>
    <row r="209" spans="1:9">
      <c r="A209">
        <v>2018</v>
      </c>
      <c r="B209" s="1">
        <v>43313</v>
      </c>
      <c r="C209" s="2" t="s">
        <v>36</v>
      </c>
      <c r="D209">
        <v>199</v>
      </c>
      <c r="E209">
        <v>167</v>
      </c>
      <c r="F209">
        <v>28784.18</v>
      </c>
      <c r="G209">
        <v>0.19176856657476929</v>
      </c>
      <c r="H209">
        <v>4.3768844221105532</v>
      </c>
      <c r="I209">
        <v>6.5868263473053898E-2</v>
      </c>
    </row>
    <row r="210" spans="1:9">
      <c r="A210">
        <v>2017</v>
      </c>
      <c r="B210" s="1">
        <v>42736</v>
      </c>
      <c r="C210" s="2" t="s">
        <v>35</v>
      </c>
      <c r="D210">
        <v>34</v>
      </c>
      <c r="E210">
        <v>29</v>
      </c>
      <c r="F210">
        <v>5654.01</v>
      </c>
      <c r="G210">
        <v>0.15440750345569795</v>
      </c>
      <c r="H210">
        <v>4.8181818181818183</v>
      </c>
      <c r="I210">
        <v>0</v>
      </c>
    </row>
    <row r="211" spans="1:9">
      <c r="A211">
        <v>2017</v>
      </c>
      <c r="B211" s="1">
        <v>42767</v>
      </c>
      <c r="C211" s="2" t="s">
        <v>35</v>
      </c>
      <c r="D211">
        <v>51</v>
      </c>
      <c r="E211">
        <v>49</v>
      </c>
      <c r="F211">
        <v>8944.2800000000007</v>
      </c>
      <c r="G211">
        <v>0.16400869769710849</v>
      </c>
      <c r="H211">
        <v>4.2352941176470589</v>
      </c>
      <c r="I211">
        <v>4.0816326530612242E-2</v>
      </c>
    </row>
    <row r="212" spans="1:9">
      <c r="A212">
        <v>2017</v>
      </c>
      <c r="B212" s="1">
        <v>42795</v>
      </c>
      <c r="C212" s="2" t="s">
        <v>35</v>
      </c>
      <c r="D212">
        <v>106</v>
      </c>
      <c r="E212">
        <v>104</v>
      </c>
      <c r="F212">
        <v>21595.4</v>
      </c>
      <c r="G212">
        <v>0.13512266034409362</v>
      </c>
      <c r="H212">
        <v>4.1714285714285717</v>
      </c>
      <c r="I212">
        <v>2.8846153846153848E-2</v>
      </c>
    </row>
    <row r="213" spans="1:9">
      <c r="A213">
        <v>2017</v>
      </c>
      <c r="B213" s="1">
        <v>42826</v>
      </c>
      <c r="C213" s="2" t="s">
        <v>35</v>
      </c>
      <c r="D213">
        <v>105</v>
      </c>
      <c r="E213">
        <v>101</v>
      </c>
      <c r="F213">
        <v>21648.98</v>
      </c>
      <c r="G213">
        <v>0.1379065471606187</v>
      </c>
      <c r="H213">
        <v>4.0480769230769234</v>
      </c>
      <c r="I213">
        <v>0.10891089108910891</v>
      </c>
    </row>
    <row r="214" spans="1:9">
      <c r="A214">
        <v>2017</v>
      </c>
      <c r="B214" s="1">
        <v>42856</v>
      </c>
      <c r="C214" s="2" t="s">
        <v>35</v>
      </c>
      <c r="D214">
        <v>145</v>
      </c>
      <c r="E214">
        <v>134</v>
      </c>
      <c r="F214">
        <v>22397.27</v>
      </c>
      <c r="G214">
        <v>0.13544415022918996</v>
      </c>
      <c r="H214">
        <v>4.1338028169014089</v>
      </c>
      <c r="I214">
        <v>6.7164179104477612E-2</v>
      </c>
    </row>
    <row r="215" spans="1:9">
      <c r="A215">
        <v>2017</v>
      </c>
      <c r="B215" s="1">
        <v>42887</v>
      </c>
      <c r="C215" s="2" t="s">
        <v>35</v>
      </c>
      <c r="D215">
        <v>156</v>
      </c>
      <c r="E215">
        <v>146</v>
      </c>
      <c r="F215">
        <v>27054.41</v>
      </c>
      <c r="G215">
        <v>0.13386725976936215</v>
      </c>
      <c r="H215">
        <v>4.0649350649350646</v>
      </c>
      <c r="I215">
        <v>2.7397260273972601E-2</v>
      </c>
    </row>
    <row r="216" spans="1:9">
      <c r="A216">
        <v>2017</v>
      </c>
      <c r="B216" s="1">
        <v>42917</v>
      </c>
      <c r="C216" s="2" t="s">
        <v>35</v>
      </c>
      <c r="D216">
        <v>126</v>
      </c>
      <c r="E216">
        <v>119</v>
      </c>
      <c r="F216">
        <v>14775.53</v>
      </c>
      <c r="G216">
        <v>0.16924666959748433</v>
      </c>
      <c r="H216">
        <v>4.1840000000000002</v>
      </c>
      <c r="I216">
        <v>5.8823529411764705E-2</v>
      </c>
    </row>
    <row r="217" spans="1:9">
      <c r="A217">
        <v>2017</v>
      </c>
      <c r="B217" s="1">
        <v>42948</v>
      </c>
      <c r="C217" s="2" t="s">
        <v>35</v>
      </c>
      <c r="D217">
        <v>128</v>
      </c>
      <c r="E217">
        <v>118</v>
      </c>
      <c r="F217">
        <v>15050.36</v>
      </c>
      <c r="G217">
        <v>0.18159934594363136</v>
      </c>
      <c r="H217">
        <v>4.4251968503937009</v>
      </c>
      <c r="I217">
        <v>3.3898305084745763E-2</v>
      </c>
    </row>
    <row r="218" spans="1:9">
      <c r="A218">
        <v>2017</v>
      </c>
      <c r="B218" s="1">
        <v>42979</v>
      </c>
      <c r="C218" s="2" t="s">
        <v>35</v>
      </c>
      <c r="D218">
        <v>160</v>
      </c>
      <c r="E218">
        <v>142</v>
      </c>
      <c r="F218">
        <v>17064.05</v>
      </c>
      <c r="G218">
        <v>0.19200058405003514</v>
      </c>
      <c r="H218">
        <v>4.0187499999999998</v>
      </c>
      <c r="I218">
        <v>5.6338028169014086E-2</v>
      </c>
    </row>
    <row r="219" spans="1:9">
      <c r="A219">
        <v>2017</v>
      </c>
      <c r="B219" s="1">
        <v>43009</v>
      </c>
      <c r="C219" s="2" t="s">
        <v>35</v>
      </c>
      <c r="D219">
        <v>189</v>
      </c>
      <c r="E219">
        <v>177</v>
      </c>
      <c r="F219">
        <v>20171.16</v>
      </c>
      <c r="G219">
        <v>0.2166579620977187</v>
      </c>
      <c r="H219">
        <v>4.2962962962962967</v>
      </c>
      <c r="I219">
        <v>3.954802259887006E-2</v>
      </c>
    </row>
    <row r="220" spans="1:9">
      <c r="A220">
        <v>2017</v>
      </c>
      <c r="B220" s="1">
        <v>43040</v>
      </c>
      <c r="C220" s="2" t="s">
        <v>35</v>
      </c>
      <c r="D220">
        <v>313</v>
      </c>
      <c r="E220">
        <v>293</v>
      </c>
      <c r="F220">
        <v>36894.93</v>
      </c>
      <c r="G220">
        <v>0.20210065585512665</v>
      </c>
      <c r="H220">
        <v>3.9361022364217253</v>
      </c>
      <c r="I220">
        <v>9.8976109215017066E-2</v>
      </c>
    </row>
    <row r="221" spans="1:9">
      <c r="A221">
        <v>2017</v>
      </c>
      <c r="B221" s="1">
        <v>43070</v>
      </c>
      <c r="C221" s="2" t="s">
        <v>35</v>
      </c>
      <c r="D221">
        <v>241</v>
      </c>
      <c r="E221">
        <v>233</v>
      </c>
      <c r="F221">
        <v>31594.52</v>
      </c>
      <c r="G221">
        <v>0.17287251735805462</v>
      </c>
      <c r="H221">
        <v>4.1392405063291138</v>
      </c>
      <c r="I221">
        <v>3.8626609442060089E-2</v>
      </c>
    </row>
    <row r="222" spans="1:9">
      <c r="A222">
        <v>2018</v>
      </c>
      <c r="B222" s="1">
        <v>43101</v>
      </c>
      <c r="C222" s="2" t="s">
        <v>35</v>
      </c>
      <c r="D222">
        <v>230</v>
      </c>
      <c r="E222">
        <v>213</v>
      </c>
      <c r="F222">
        <v>23455.61</v>
      </c>
      <c r="G222">
        <v>0.2174710220614455</v>
      </c>
      <c r="H222">
        <v>4.0043668122270741</v>
      </c>
      <c r="I222">
        <v>8.4507042253521125E-2</v>
      </c>
    </row>
    <row r="223" spans="1:9">
      <c r="A223">
        <v>2018</v>
      </c>
      <c r="B223" s="1">
        <v>43132</v>
      </c>
      <c r="C223" s="2" t="s">
        <v>35</v>
      </c>
      <c r="D223">
        <v>220</v>
      </c>
      <c r="E223">
        <v>198</v>
      </c>
      <c r="F223">
        <v>23932.16</v>
      </c>
      <c r="G223">
        <v>0.19484663123375662</v>
      </c>
      <c r="H223">
        <v>4.161290322580645</v>
      </c>
      <c r="I223">
        <v>0.10101010101010101</v>
      </c>
    </row>
    <row r="224" spans="1:9">
      <c r="A224">
        <v>2018</v>
      </c>
      <c r="B224" s="1">
        <v>43160</v>
      </c>
      <c r="C224" s="2" t="s">
        <v>35</v>
      </c>
      <c r="D224">
        <v>202</v>
      </c>
      <c r="E224">
        <v>186</v>
      </c>
      <c r="F224">
        <v>23814.11</v>
      </c>
      <c r="G224">
        <v>0.20660794352172213</v>
      </c>
      <c r="H224">
        <v>3.8308457711442787</v>
      </c>
      <c r="I224">
        <v>0.23118279569892472</v>
      </c>
    </row>
    <row r="225" spans="1:9">
      <c r="A225">
        <v>2018</v>
      </c>
      <c r="B225" s="1">
        <v>43191</v>
      </c>
      <c r="C225" s="2" t="s">
        <v>35</v>
      </c>
      <c r="D225">
        <v>175</v>
      </c>
      <c r="E225">
        <v>160</v>
      </c>
      <c r="F225">
        <v>20504.240000000002</v>
      </c>
      <c r="G225">
        <v>0.21063624141083509</v>
      </c>
      <c r="H225">
        <v>4.2057142857142855</v>
      </c>
      <c r="I225">
        <v>1.8749999999999999E-2</v>
      </c>
    </row>
    <row r="226" spans="1:9">
      <c r="A226">
        <v>2018</v>
      </c>
      <c r="B226" s="1">
        <v>43221</v>
      </c>
      <c r="C226" s="2" t="s">
        <v>35</v>
      </c>
      <c r="D226">
        <v>198</v>
      </c>
      <c r="E226">
        <v>180</v>
      </c>
      <c r="F226">
        <v>27915.22</v>
      </c>
      <c r="G226">
        <v>0.18439434325596066</v>
      </c>
      <c r="H226">
        <v>4.2323232323232327</v>
      </c>
      <c r="I226">
        <v>0.1</v>
      </c>
    </row>
    <row r="227" spans="1:9">
      <c r="A227">
        <v>2018</v>
      </c>
      <c r="B227" s="1">
        <v>43252</v>
      </c>
      <c r="C227" s="2" t="s">
        <v>35</v>
      </c>
      <c r="D227">
        <v>189</v>
      </c>
      <c r="E227">
        <v>169</v>
      </c>
      <c r="F227">
        <v>31001.59</v>
      </c>
      <c r="G227">
        <v>0.16403731827246021</v>
      </c>
      <c r="H227">
        <v>4.3191489361702127</v>
      </c>
      <c r="I227">
        <v>1.7751479289940829E-2</v>
      </c>
    </row>
    <row r="228" spans="1:9">
      <c r="A228">
        <v>2018</v>
      </c>
      <c r="B228" s="1">
        <v>43282</v>
      </c>
      <c r="C228" s="2" t="s">
        <v>35</v>
      </c>
      <c r="D228">
        <v>205</v>
      </c>
      <c r="E228">
        <v>174</v>
      </c>
      <c r="F228">
        <v>25704.44</v>
      </c>
      <c r="G228">
        <v>0.20074114452232192</v>
      </c>
      <c r="H228">
        <v>4.5517241379310347</v>
      </c>
      <c r="I228">
        <v>1.7241379310344827E-2</v>
      </c>
    </row>
    <row r="229" spans="1:9">
      <c r="A229">
        <v>2018</v>
      </c>
      <c r="B229" s="1">
        <v>43313</v>
      </c>
      <c r="C229" s="2" t="s">
        <v>35</v>
      </c>
      <c r="D229">
        <v>223</v>
      </c>
      <c r="E229">
        <v>207</v>
      </c>
      <c r="F229">
        <v>28660.53</v>
      </c>
      <c r="G229">
        <v>0.1778517530364066</v>
      </c>
      <c r="H229">
        <v>4.3013698630136989</v>
      </c>
      <c r="I229">
        <v>7.7294685990338161E-2</v>
      </c>
    </row>
    <row r="230" spans="1:9">
      <c r="A230">
        <v>2017</v>
      </c>
      <c r="B230" s="1">
        <v>42917</v>
      </c>
      <c r="C230" s="2" t="s">
        <v>78</v>
      </c>
      <c r="D230">
        <v>1</v>
      </c>
      <c r="E230">
        <v>1</v>
      </c>
      <c r="F230">
        <v>83.41</v>
      </c>
      <c r="G230">
        <v>0.16197098669224314</v>
      </c>
      <c r="H230">
        <v>5</v>
      </c>
      <c r="I230">
        <v>0</v>
      </c>
    </row>
    <row r="231" spans="1:9">
      <c r="A231">
        <v>2017</v>
      </c>
      <c r="B231" s="1">
        <v>42979</v>
      </c>
      <c r="C231" s="2" t="s">
        <v>78</v>
      </c>
      <c r="D231">
        <v>2</v>
      </c>
      <c r="E231">
        <v>1</v>
      </c>
      <c r="F231">
        <v>303.2</v>
      </c>
      <c r="G231">
        <v>0.11015831134564644</v>
      </c>
      <c r="H231">
        <v>1</v>
      </c>
      <c r="I231">
        <v>0</v>
      </c>
    </row>
    <row r="232" spans="1:9">
      <c r="A232">
        <v>2017</v>
      </c>
      <c r="B232" s="1">
        <v>43009</v>
      </c>
      <c r="C232" s="2" t="s">
        <v>78</v>
      </c>
      <c r="D232">
        <v>2</v>
      </c>
      <c r="E232">
        <v>2</v>
      </c>
      <c r="F232">
        <v>163.87</v>
      </c>
      <c r="G232">
        <v>0.15777689956990082</v>
      </c>
      <c r="H232">
        <v>4.5</v>
      </c>
      <c r="I232">
        <v>0</v>
      </c>
    </row>
    <row r="233" spans="1:9">
      <c r="A233">
        <v>2017</v>
      </c>
      <c r="B233" s="1">
        <v>43040</v>
      </c>
      <c r="C233" s="2" t="s">
        <v>78</v>
      </c>
      <c r="D233">
        <v>4</v>
      </c>
      <c r="E233">
        <v>4</v>
      </c>
      <c r="F233">
        <v>934.34</v>
      </c>
      <c r="G233">
        <v>0.16467217989732799</v>
      </c>
      <c r="H233">
        <v>3.75</v>
      </c>
      <c r="I233">
        <v>0</v>
      </c>
    </row>
    <row r="234" spans="1:9">
      <c r="A234">
        <v>2017</v>
      </c>
      <c r="B234" s="1">
        <v>43070</v>
      </c>
      <c r="C234" s="2" t="s">
        <v>78</v>
      </c>
      <c r="D234">
        <v>2</v>
      </c>
      <c r="E234">
        <v>2</v>
      </c>
      <c r="F234">
        <v>549.91999999999996</v>
      </c>
      <c r="G234">
        <v>6.3101062417928816E-2</v>
      </c>
      <c r="H234">
        <v>5</v>
      </c>
      <c r="I234">
        <v>0</v>
      </c>
    </row>
    <row r="235" spans="1:9">
      <c r="A235">
        <v>2018</v>
      </c>
      <c r="B235" s="1">
        <v>43101</v>
      </c>
      <c r="C235" s="2" t="s">
        <v>78</v>
      </c>
      <c r="D235">
        <v>2</v>
      </c>
      <c r="E235">
        <v>2</v>
      </c>
      <c r="F235">
        <v>170.26</v>
      </c>
      <c r="G235">
        <v>0.20236881955152233</v>
      </c>
      <c r="H235">
        <v>3.5</v>
      </c>
      <c r="I235">
        <v>0</v>
      </c>
    </row>
    <row r="236" spans="1:9">
      <c r="A236">
        <v>2018</v>
      </c>
      <c r="B236" s="1">
        <v>43160</v>
      </c>
      <c r="C236" s="2" t="s">
        <v>78</v>
      </c>
      <c r="D236">
        <v>6</v>
      </c>
      <c r="E236">
        <v>5</v>
      </c>
      <c r="F236">
        <v>1070.29</v>
      </c>
      <c r="G236">
        <v>0.25769519463460488</v>
      </c>
      <c r="H236">
        <v>3.5</v>
      </c>
      <c r="I236">
        <v>0</v>
      </c>
    </row>
    <row r="237" spans="1:9">
      <c r="A237">
        <v>2018</v>
      </c>
      <c r="B237" s="1">
        <v>43191</v>
      </c>
      <c r="C237" s="2" t="s">
        <v>78</v>
      </c>
      <c r="D237">
        <v>2</v>
      </c>
      <c r="E237">
        <v>1</v>
      </c>
      <c r="F237">
        <v>80.260000000000005</v>
      </c>
      <c r="G237">
        <v>0.45427361076501371</v>
      </c>
      <c r="H237">
        <v>1</v>
      </c>
      <c r="I237">
        <v>0</v>
      </c>
    </row>
    <row r="238" spans="1:9">
      <c r="A238">
        <v>2018</v>
      </c>
      <c r="B238" s="1">
        <v>43221</v>
      </c>
      <c r="C238" s="2" t="s">
        <v>78</v>
      </c>
      <c r="D238">
        <v>4</v>
      </c>
      <c r="E238">
        <v>3</v>
      </c>
      <c r="F238">
        <v>170.44</v>
      </c>
      <c r="G238">
        <v>0.40523724135887923</v>
      </c>
      <c r="H238">
        <v>3</v>
      </c>
      <c r="I238">
        <v>0</v>
      </c>
    </row>
    <row r="239" spans="1:9">
      <c r="A239">
        <v>2018</v>
      </c>
      <c r="B239" s="1">
        <v>43252</v>
      </c>
      <c r="C239" s="2" t="s">
        <v>78</v>
      </c>
      <c r="D239">
        <v>2</v>
      </c>
      <c r="E239">
        <v>2</v>
      </c>
      <c r="F239">
        <v>112.38</v>
      </c>
      <c r="G239">
        <v>0.30482279071834362</v>
      </c>
      <c r="H239">
        <v>5</v>
      </c>
      <c r="I239">
        <v>0</v>
      </c>
    </row>
    <row r="240" spans="1:9">
      <c r="A240">
        <v>2018</v>
      </c>
      <c r="B240" s="1">
        <v>43282</v>
      </c>
      <c r="C240" s="2" t="s">
        <v>78</v>
      </c>
      <c r="D240">
        <v>2</v>
      </c>
      <c r="E240">
        <v>2</v>
      </c>
      <c r="F240">
        <v>84.36</v>
      </c>
      <c r="G240">
        <v>0.30254251356544221</v>
      </c>
      <c r="H240">
        <v>4.5</v>
      </c>
      <c r="I240">
        <v>0</v>
      </c>
    </row>
    <row r="241" spans="1:9">
      <c r="A241">
        <v>2018</v>
      </c>
      <c r="B241" s="1">
        <v>43313</v>
      </c>
      <c r="C241" s="2" t="s">
        <v>78</v>
      </c>
      <c r="D241">
        <v>14</v>
      </c>
      <c r="E241">
        <v>14</v>
      </c>
      <c r="F241">
        <v>1590.42</v>
      </c>
      <c r="G241">
        <v>0.23111413351943236</v>
      </c>
      <c r="H241">
        <v>4.2857142857142856</v>
      </c>
      <c r="I241">
        <v>0</v>
      </c>
    </row>
    <row r="242" spans="1:9">
      <c r="A242">
        <v>2017</v>
      </c>
      <c r="B242" s="1">
        <v>42736</v>
      </c>
      <c r="C242" s="2" t="s">
        <v>34</v>
      </c>
      <c r="D242">
        <v>10</v>
      </c>
      <c r="E242">
        <v>7</v>
      </c>
      <c r="F242">
        <v>1817.74</v>
      </c>
      <c r="G242">
        <v>0.18637900959428647</v>
      </c>
      <c r="H242">
        <v>2.8</v>
      </c>
      <c r="I242">
        <v>0</v>
      </c>
    </row>
    <row r="243" spans="1:9">
      <c r="A243">
        <v>2017</v>
      </c>
      <c r="B243" s="1">
        <v>42767</v>
      </c>
      <c r="C243" s="2" t="s">
        <v>34</v>
      </c>
      <c r="D243">
        <v>63</v>
      </c>
      <c r="E243">
        <v>53</v>
      </c>
      <c r="F243">
        <v>13900</v>
      </c>
      <c r="G243">
        <v>0.16578171222938318</v>
      </c>
      <c r="H243">
        <v>3.5873015873015874</v>
      </c>
      <c r="I243">
        <v>1.8867924528301886E-2</v>
      </c>
    </row>
    <row r="244" spans="1:9">
      <c r="A244">
        <v>2017</v>
      </c>
      <c r="B244" s="1">
        <v>42795</v>
      </c>
      <c r="C244" s="2" t="s">
        <v>34</v>
      </c>
      <c r="D244">
        <v>78</v>
      </c>
      <c r="E244">
        <v>60</v>
      </c>
      <c r="F244">
        <v>14463.49</v>
      </c>
      <c r="G244">
        <v>0.1873837729932939</v>
      </c>
      <c r="H244">
        <v>3.2</v>
      </c>
      <c r="I244">
        <v>6.6666666666666666E-2</v>
      </c>
    </row>
    <row r="245" spans="1:9">
      <c r="A245">
        <v>2017</v>
      </c>
      <c r="B245" s="1">
        <v>42826</v>
      </c>
      <c r="C245" s="2" t="s">
        <v>34</v>
      </c>
      <c r="D245">
        <v>58</v>
      </c>
      <c r="E245">
        <v>48</v>
      </c>
      <c r="F245">
        <v>11164.03</v>
      </c>
      <c r="G245">
        <v>0.16953200479599609</v>
      </c>
      <c r="H245">
        <v>3.9482758620689653</v>
      </c>
      <c r="I245">
        <v>0.10416666666666667</v>
      </c>
    </row>
    <row r="246" spans="1:9">
      <c r="A246">
        <v>2017</v>
      </c>
      <c r="B246" s="1">
        <v>42856</v>
      </c>
      <c r="C246" s="2" t="s">
        <v>34</v>
      </c>
      <c r="D246">
        <v>56</v>
      </c>
      <c r="E246">
        <v>42</v>
      </c>
      <c r="F246">
        <v>10019.709999999999</v>
      </c>
      <c r="G246">
        <v>0.15856394224195383</v>
      </c>
      <c r="H246">
        <v>3.7592592592592591</v>
      </c>
      <c r="I246">
        <v>4.7619047619047616E-2</v>
      </c>
    </row>
    <row r="247" spans="1:9">
      <c r="A247">
        <v>2017</v>
      </c>
      <c r="B247" s="1">
        <v>42887</v>
      </c>
      <c r="C247" s="2" t="s">
        <v>34</v>
      </c>
      <c r="D247">
        <v>50</v>
      </c>
      <c r="E247">
        <v>45</v>
      </c>
      <c r="F247">
        <v>9095.7999999999993</v>
      </c>
      <c r="G247">
        <v>0.202499904595518</v>
      </c>
      <c r="H247">
        <v>3.92</v>
      </c>
      <c r="I247">
        <v>2.2222222222222223E-2</v>
      </c>
    </row>
    <row r="248" spans="1:9">
      <c r="A248">
        <v>2017</v>
      </c>
      <c r="B248" s="1">
        <v>42917</v>
      </c>
      <c r="C248" s="2" t="s">
        <v>34</v>
      </c>
      <c r="D248">
        <v>115</v>
      </c>
      <c r="E248">
        <v>97</v>
      </c>
      <c r="F248">
        <v>21267.13</v>
      </c>
      <c r="G248">
        <v>0.20634509325876044</v>
      </c>
      <c r="H248">
        <v>4</v>
      </c>
      <c r="I248">
        <v>5.1546391752577317E-2</v>
      </c>
    </row>
    <row r="249" spans="1:9">
      <c r="A249">
        <v>2017</v>
      </c>
      <c r="B249" s="1">
        <v>42948</v>
      </c>
      <c r="C249" s="2" t="s">
        <v>34</v>
      </c>
      <c r="D249">
        <v>58</v>
      </c>
      <c r="E249">
        <v>46</v>
      </c>
      <c r="F249">
        <v>12389.04</v>
      </c>
      <c r="G249">
        <v>0.20978082044820662</v>
      </c>
      <c r="H249">
        <v>3.8448275862068968</v>
      </c>
      <c r="I249">
        <v>4.3478260869565216E-2</v>
      </c>
    </row>
    <row r="250" spans="1:9">
      <c r="A250">
        <v>2017</v>
      </c>
      <c r="B250" s="1">
        <v>42979</v>
      </c>
      <c r="C250" s="2" t="s">
        <v>34</v>
      </c>
      <c r="D250">
        <v>67</v>
      </c>
      <c r="E250">
        <v>37</v>
      </c>
      <c r="F250">
        <v>12250.42</v>
      </c>
      <c r="G250">
        <v>0.20114463890192344</v>
      </c>
      <c r="H250">
        <v>3.9253731343283582</v>
      </c>
      <c r="I250">
        <v>0.21621621621621623</v>
      </c>
    </row>
    <row r="251" spans="1:9">
      <c r="A251">
        <v>2017</v>
      </c>
      <c r="B251" s="1">
        <v>43009</v>
      </c>
      <c r="C251" s="2" t="s">
        <v>34</v>
      </c>
      <c r="D251">
        <v>103</v>
      </c>
      <c r="E251">
        <v>69</v>
      </c>
      <c r="F251">
        <v>22179.88</v>
      </c>
      <c r="G251">
        <v>0.17996863705562943</v>
      </c>
      <c r="H251">
        <v>3.17</v>
      </c>
      <c r="I251">
        <v>0.13043478260869565</v>
      </c>
    </row>
    <row r="252" spans="1:9">
      <c r="A252">
        <v>2017</v>
      </c>
      <c r="B252" s="1">
        <v>43040</v>
      </c>
      <c r="C252" s="2" t="s">
        <v>34</v>
      </c>
      <c r="D252">
        <v>102</v>
      </c>
      <c r="E252">
        <v>76</v>
      </c>
      <c r="F252">
        <v>22864.48</v>
      </c>
      <c r="G252">
        <v>0.21487192685653791</v>
      </c>
      <c r="H252">
        <v>2.9117647058823528</v>
      </c>
      <c r="I252">
        <v>0.26315789473684209</v>
      </c>
    </row>
    <row r="253" spans="1:9">
      <c r="A253">
        <v>2017</v>
      </c>
      <c r="B253" s="1">
        <v>43070</v>
      </c>
      <c r="C253" s="2" t="s">
        <v>34</v>
      </c>
      <c r="D253">
        <v>49</v>
      </c>
      <c r="E253">
        <v>39</v>
      </c>
      <c r="F253">
        <v>8769.2800000000007</v>
      </c>
      <c r="G253">
        <v>0.21365173895993425</v>
      </c>
      <c r="H253">
        <v>3.3541666666666665</v>
      </c>
      <c r="I253">
        <v>0.12820512820512819</v>
      </c>
    </row>
    <row r="254" spans="1:9">
      <c r="A254">
        <v>2018</v>
      </c>
      <c r="B254" s="1">
        <v>43101</v>
      </c>
      <c r="C254" s="2" t="s">
        <v>34</v>
      </c>
      <c r="D254">
        <v>145</v>
      </c>
      <c r="E254">
        <v>106</v>
      </c>
      <c r="F254">
        <v>25732.55</v>
      </c>
      <c r="G254">
        <v>0.21960113812941082</v>
      </c>
      <c r="H254">
        <v>3.183098591549296</v>
      </c>
      <c r="I254">
        <v>0.18867924528301888</v>
      </c>
    </row>
    <row r="255" spans="1:9">
      <c r="A255">
        <v>2018</v>
      </c>
      <c r="B255" s="1">
        <v>43132</v>
      </c>
      <c r="C255" s="2" t="s">
        <v>34</v>
      </c>
      <c r="D255">
        <v>109</v>
      </c>
      <c r="E255">
        <v>72</v>
      </c>
      <c r="F255">
        <v>22011.040000000001</v>
      </c>
      <c r="G255">
        <v>0.20274329410382391</v>
      </c>
      <c r="H255">
        <v>3.0186915887850465</v>
      </c>
      <c r="I255">
        <v>0.19444444444444445</v>
      </c>
    </row>
    <row r="256" spans="1:9">
      <c r="A256">
        <v>2018</v>
      </c>
      <c r="B256" s="1">
        <v>43160</v>
      </c>
      <c r="C256" s="2" t="s">
        <v>34</v>
      </c>
      <c r="D256">
        <v>202</v>
      </c>
      <c r="E256">
        <v>151</v>
      </c>
      <c r="F256">
        <v>39722.58</v>
      </c>
      <c r="G256">
        <v>0.21610665883887464</v>
      </c>
      <c r="H256">
        <v>3.2722772277227725</v>
      </c>
      <c r="I256">
        <v>9.9337748344370855E-2</v>
      </c>
    </row>
    <row r="257" spans="1:9">
      <c r="A257">
        <v>2018</v>
      </c>
      <c r="B257" s="1">
        <v>43191</v>
      </c>
      <c r="C257" s="2" t="s">
        <v>34</v>
      </c>
      <c r="D257">
        <v>133</v>
      </c>
      <c r="E257">
        <v>88</v>
      </c>
      <c r="F257">
        <v>26494.799999999999</v>
      </c>
      <c r="G257">
        <v>0.2329883203212334</v>
      </c>
      <c r="H257">
        <v>3.5909090909090908</v>
      </c>
      <c r="I257">
        <v>6.8181818181818177E-2</v>
      </c>
    </row>
    <row r="258" spans="1:9">
      <c r="A258">
        <v>2018</v>
      </c>
      <c r="B258" s="1">
        <v>43221</v>
      </c>
      <c r="C258" s="2" t="s">
        <v>34</v>
      </c>
      <c r="D258">
        <v>105</v>
      </c>
      <c r="E258">
        <v>83</v>
      </c>
      <c r="F258">
        <v>25355</v>
      </c>
      <c r="G258">
        <v>0.1897898031632671</v>
      </c>
      <c r="H258">
        <v>3.8857142857142857</v>
      </c>
      <c r="I258">
        <v>6.0240963855421686E-2</v>
      </c>
    </row>
    <row r="259" spans="1:9">
      <c r="A259">
        <v>2018</v>
      </c>
      <c r="B259" s="1">
        <v>43252</v>
      </c>
      <c r="C259" s="2" t="s">
        <v>34</v>
      </c>
      <c r="D259">
        <v>77</v>
      </c>
      <c r="E259">
        <v>60</v>
      </c>
      <c r="F259">
        <v>16654.57</v>
      </c>
      <c r="G259">
        <v>0.23478143090356082</v>
      </c>
      <c r="H259">
        <v>3.6623376623376624</v>
      </c>
      <c r="I259">
        <v>1.6666666666666666E-2</v>
      </c>
    </row>
    <row r="260" spans="1:9">
      <c r="A260">
        <v>2018</v>
      </c>
      <c r="B260" s="1">
        <v>43282</v>
      </c>
      <c r="C260" s="2" t="s">
        <v>34</v>
      </c>
      <c r="D260">
        <v>82</v>
      </c>
      <c r="E260">
        <v>64</v>
      </c>
      <c r="F260">
        <v>17388.52</v>
      </c>
      <c r="G260">
        <v>0.21934590257758779</v>
      </c>
      <c r="H260">
        <v>3.6962025316455698</v>
      </c>
      <c r="I260">
        <v>0.125</v>
      </c>
    </row>
    <row r="261" spans="1:9">
      <c r="A261">
        <v>2018</v>
      </c>
      <c r="B261" s="1">
        <v>43313</v>
      </c>
      <c r="C261" s="2" t="s">
        <v>34</v>
      </c>
      <c r="D261">
        <v>30</v>
      </c>
      <c r="E261">
        <v>24</v>
      </c>
      <c r="F261">
        <v>8386.67</v>
      </c>
      <c r="G261">
        <v>0.20424270645104359</v>
      </c>
      <c r="H261">
        <v>4.0999999999999996</v>
      </c>
      <c r="I261">
        <v>8.3333333333333329E-2</v>
      </c>
    </row>
    <row r="262" spans="1:9">
      <c r="A262">
        <v>2017</v>
      </c>
      <c r="B262" s="1">
        <v>42736</v>
      </c>
      <c r="C262" s="2" t="s">
        <v>52</v>
      </c>
      <c r="D262">
        <v>1</v>
      </c>
      <c r="E262">
        <v>1</v>
      </c>
      <c r="F262">
        <v>357.74</v>
      </c>
      <c r="G262">
        <v>5.0315871862246321E-2</v>
      </c>
      <c r="H262">
        <v>4</v>
      </c>
      <c r="I262">
        <v>0</v>
      </c>
    </row>
    <row r="263" spans="1:9">
      <c r="A263">
        <v>2017</v>
      </c>
      <c r="B263" s="1">
        <v>42767</v>
      </c>
      <c r="C263" s="2" t="s">
        <v>52</v>
      </c>
      <c r="D263">
        <v>10</v>
      </c>
      <c r="E263">
        <v>8</v>
      </c>
      <c r="F263">
        <v>2501.11</v>
      </c>
      <c r="G263">
        <v>0.22007429360363701</v>
      </c>
      <c r="H263">
        <v>4.5</v>
      </c>
      <c r="I263">
        <v>0</v>
      </c>
    </row>
    <row r="264" spans="1:9">
      <c r="A264">
        <v>2017</v>
      </c>
      <c r="B264" s="1">
        <v>42795</v>
      </c>
      <c r="C264" s="2" t="s">
        <v>52</v>
      </c>
      <c r="D264">
        <v>10</v>
      </c>
      <c r="E264">
        <v>9</v>
      </c>
      <c r="F264">
        <v>1887.51</v>
      </c>
      <c r="G264">
        <v>0.32127984002414683</v>
      </c>
      <c r="H264">
        <v>2.7</v>
      </c>
      <c r="I264">
        <v>0.22222222222222221</v>
      </c>
    </row>
    <row r="265" spans="1:9">
      <c r="A265">
        <v>2017</v>
      </c>
      <c r="B265" s="1">
        <v>42826</v>
      </c>
      <c r="C265" s="2" t="s">
        <v>52</v>
      </c>
      <c r="D265">
        <v>16</v>
      </c>
      <c r="E265">
        <v>16</v>
      </c>
      <c r="F265">
        <v>4114.2700000000004</v>
      </c>
      <c r="G265">
        <v>0.16545125110142792</v>
      </c>
      <c r="H265">
        <v>3.8125</v>
      </c>
      <c r="I265">
        <v>0.125</v>
      </c>
    </row>
    <row r="266" spans="1:9">
      <c r="A266">
        <v>2017</v>
      </c>
      <c r="B266" s="1">
        <v>42856</v>
      </c>
      <c r="C266" s="2" t="s">
        <v>52</v>
      </c>
      <c r="D266">
        <v>21</v>
      </c>
      <c r="E266">
        <v>19</v>
      </c>
      <c r="F266">
        <v>10534.16</v>
      </c>
      <c r="G266">
        <v>0.14032519936095089</v>
      </c>
      <c r="H266">
        <v>4.2857142857142856</v>
      </c>
      <c r="I266">
        <v>0</v>
      </c>
    </row>
    <row r="267" spans="1:9">
      <c r="A267">
        <v>2017</v>
      </c>
      <c r="B267" s="1">
        <v>42887</v>
      </c>
      <c r="C267" s="2" t="s">
        <v>52</v>
      </c>
      <c r="D267">
        <v>20</v>
      </c>
      <c r="E267">
        <v>17</v>
      </c>
      <c r="F267">
        <v>5515.32</v>
      </c>
      <c r="G267">
        <v>0.1565877416169125</v>
      </c>
      <c r="H267">
        <v>3.75</v>
      </c>
      <c r="I267">
        <v>5.8823529411764705E-2</v>
      </c>
    </row>
    <row r="268" spans="1:9">
      <c r="A268">
        <v>2017</v>
      </c>
      <c r="B268" s="1">
        <v>42917</v>
      </c>
      <c r="C268" s="2" t="s">
        <v>52</v>
      </c>
      <c r="D268">
        <v>32</v>
      </c>
      <c r="E268">
        <v>28</v>
      </c>
      <c r="F268">
        <v>9223.92</v>
      </c>
      <c r="G268">
        <v>0.15066439378950203</v>
      </c>
      <c r="H268">
        <v>4.258064516129032</v>
      </c>
      <c r="I268">
        <v>7.1428571428571425E-2</v>
      </c>
    </row>
    <row r="269" spans="1:9">
      <c r="A269">
        <v>2017</v>
      </c>
      <c r="B269" s="1">
        <v>42948</v>
      </c>
      <c r="C269" s="2" t="s">
        <v>52</v>
      </c>
      <c r="D269">
        <v>27</v>
      </c>
      <c r="E269">
        <v>24</v>
      </c>
      <c r="F269">
        <v>7830.32</v>
      </c>
      <c r="G269">
        <v>0.18639263060958269</v>
      </c>
      <c r="H269">
        <v>3.8888888888888888</v>
      </c>
      <c r="I269">
        <v>4.1666666666666664E-2</v>
      </c>
    </row>
    <row r="270" spans="1:9">
      <c r="A270">
        <v>2017</v>
      </c>
      <c r="B270" s="1">
        <v>42979</v>
      </c>
      <c r="C270" s="2" t="s">
        <v>52</v>
      </c>
      <c r="D270">
        <v>28</v>
      </c>
      <c r="E270">
        <v>24</v>
      </c>
      <c r="F270">
        <v>9709.5499999999993</v>
      </c>
      <c r="G270">
        <v>0.14217174833325036</v>
      </c>
      <c r="H270">
        <v>4.2592592592592595</v>
      </c>
      <c r="I270">
        <v>0</v>
      </c>
    </row>
    <row r="271" spans="1:9">
      <c r="A271">
        <v>2017</v>
      </c>
      <c r="B271" s="1">
        <v>43009</v>
      </c>
      <c r="C271" s="2" t="s">
        <v>52</v>
      </c>
      <c r="D271">
        <v>27</v>
      </c>
      <c r="E271">
        <v>22</v>
      </c>
      <c r="F271">
        <v>7437.81</v>
      </c>
      <c r="G271">
        <v>0.20356626391304691</v>
      </c>
      <c r="H271">
        <v>4.2592592592592595</v>
      </c>
      <c r="I271">
        <v>4.5454545454545456E-2</v>
      </c>
    </row>
    <row r="272" spans="1:9">
      <c r="A272">
        <v>2017</v>
      </c>
      <c r="B272" s="1">
        <v>43040</v>
      </c>
      <c r="C272" s="2" t="s">
        <v>52</v>
      </c>
      <c r="D272">
        <v>49</v>
      </c>
      <c r="E272">
        <v>44</v>
      </c>
      <c r="F272">
        <v>17895.62</v>
      </c>
      <c r="G272">
        <v>0.16766340333509544</v>
      </c>
      <c r="H272">
        <v>3.8163265306122449</v>
      </c>
      <c r="I272">
        <v>9.0909090909090912E-2</v>
      </c>
    </row>
    <row r="273" spans="1:9">
      <c r="A273">
        <v>2017</v>
      </c>
      <c r="B273" s="1">
        <v>43070</v>
      </c>
      <c r="C273" s="2" t="s">
        <v>52</v>
      </c>
      <c r="D273">
        <v>42</v>
      </c>
      <c r="E273">
        <v>41</v>
      </c>
      <c r="F273">
        <v>11689.59</v>
      </c>
      <c r="G273">
        <v>0.14859429418574602</v>
      </c>
      <c r="H273">
        <v>3.9750000000000001</v>
      </c>
      <c r="I273">
        <v>0.1951219512195122</v>
      </c>
    </row>
    <row r="274" spans="1:9">
      <c r="A274">
        <v>2018</v>
      </c>
      <c r="B274" s="1">
        <v>43101</v>
      </c>
      <c r="C274" s="2" t="s">
        <v>52</v>
      </c>
      <c r="D274">
        <v>53</v>
      </c>
      <c r="E274">
        <v>51</v>
      </c>
      <c r="F274">
        <v>16745.32</v>
      </c>
      <c r="G274">
        <v>0.16060900247199242</v>
      </c>
      <c r="H274">
        <v>4.1698113207547172</v>
      </c>
      <c r="I274">
        <v>3.9215686274509803E-2</v>
      </c>
    </row>
    <row r="275" spans="1:9">
      <c r="A275">
        <v>2018</v>
      </c>
      <c r="B275" s="1">
        <v>43132</v>
      </c>
      <c r="C275" s="2" t="s">
        <v>52</v>
      </c>
      <c r="D275">
        <v>44</v>
      </c>
      <c r="E275">
        <v>39</v>
      </c>
      <c r="F275">
        <v>10064.379999999999</v>
      </c>
      <c r="G275">
        <v>0.17407174448791043</v>
      </c>
      <c r="H275">
        <v>3.9545454545454546</v>
      </c>
      <c r="I275">
        <v>0.23076923076923078</v>
      </c>
    </row>
    <row r="276" spans="1:9">
      <c r="A276">
        <v>2018</v>
      </c>
      <c r="B276" s="1">
        <v>43160</v>
      </c>
      <c r="C276" s="2" t="s">
        <v>52</v>
      </c>
      <c r="D276">
        <v>55</v>
      </c>
      <c r="E276">
        <v>51</v>
      </c>
      <c r="F276">
        <v>12125.77</v>
      </c>
      <c r="G276">
        <v>0.18905122971635627</v>
      </c>
      <c r="H276">
        <v>4.1090909090909093</v>
      </c>
      <c r="I276">
        <v>0.13725490196078433</v>
      </c>
    </row>
    <row r="277" spans="1:9">
      <c r="A277">
        <v>2018</v>
      </c>
      <c r="B277" s="1">
        <v>43191</v>
      </c>
      <c r="C277" s="2" t="s">
        <v>52</v>
      </c>
      <c r="D277">
        <v>60</v>
      </c>
      <c r="E277">
        <v>57</v>
      </c>
      <c r="F277">
        <v>21176.37</v>
      </c>
      <c r="G277">
        <v>0.16545598418950078</v>
      </c>
      <c r="H277">
        <v>4.3666666666666671</v>
      </c>
      <c r="I277">
        <v>1.7543859649122806E-2</v>
      </c>
    </row>
    <row r="278" spans="1:9">
      <c r="A278">
        <v>2018</v>
      </c>
      <c r="B278" s="1">
        <v>43221</v>
      </c>
      <c r="C278" s="2" t="s">
        <v>52</v>
      </c>
      <c r="D278">
        <v>61</v>
      </c>
      <c r="E278">
        <v>59</v>
      </c>
      <c r="F278">
        <v>20537.04</v>
      </c>
      <c r="G278">
        <v>0.16619118240437727</v>
      </c>
      <c r="H278">
        <v>4.3114754098360653</v>
      </c>
      <c r="I278">
        <v>5.0847457627118647E-2</v>
      </c>
    </row>
    <row r="279" spans="1:9">
      <c r="A279">
        <v>2018</v>
      </c>
      <c r="B279" s="1">
        <v>43252</v>
      </c>
      <c r="C279" s="2" t="s">
        <v>52</v>
      </c>
      <c r="D279">
        <v>47</v>
      </c>
      <c r="E279">
        <v>46</v>
      </c>
      <c r="F279">
        <v>17970.759999999998</v>
      </c>
      <c r="G279">
        <v>0.16435755022515017</v>
      </c>
      <c r="H279">
        <v>4.4565217391304346</v>
      </c>
      <c r="I279">
        <v>2.1739130434782608E-2</v>
      </c>
    </row>
    <row r="280" spans="1:9">
      <c r="A280">
        <v>2018</v>
      </c>
      <c r="B280" s="1">
        <v>43282</v>
      </c>
      <c r="C280" s="2" t="s">
        <v>52</v>
      </c>
      <c r="D280">
        <v>37</v>
      </c>
      <c r="E280">
        <v>33</v>
      </c>
      <c r="F280">
        <v>11151.22</v>
      </c>
      <c r="G280">
        <v>0.20941833857506656</v>
      </c>
      <c r="H280">
        <v>4.3888888888888893</v>
      </c>
      <c r="I280">
        <v>3.0303030303030304E-2</v>
      </c>
    </row>
    <row r="281" spans="1:9">
      <c r="A281">
        <v>2018</v>
      </c>
      <c r="B281" s="1">
        <v>43313</v>
      </c>
      <c r="C281" s="2" t="s">
        <v>52</v>
      </c>
      <c r="D281">
        <v>41</v>
      </c>
      <c r="E281">
        <v>39</v>
      </c>
      <c r="F281">
        <v>11705.45</v>
      </c>
      <c r="G281">
        <v>0.21481500475535328</v>
      </c>
      <c r="H281">
        <v>4.3658536585365857</v>
      </c>
      <c r="I281">
        <v>7.6923076923076927E-2</v>
      </c>
    </row>
    <row r="282" spans="1:9">
      <c r="A282">
        <v>2017</v>
      </c>
      <c r="B282" s="1">
        <v>42736</v>
      </c>
      <c r="C282" s="2" t="s">
        <v>51</v>
      </c>
      <c r="D282">
        <v>2</v>
      </c>
      <c r="E282">
        <v>2</v>
      </c>
      <c r="F282">
        <v>37.24</v>
      </c>
      <c r="G282">
        <v>0.46831364124597208</v>
      </c>
      <c r="H282">
        <v>5</v>
      </c>
      <c r="I282">
        <v>0</v>
      </c>
    </row>
    <row r="283" spans="1:9">
      <c r="A283">
        <v>2017</v>
      </c>
      <c r="B283" s="1">
        <v>42795</v>
      </c>
      <c r="C283" s="2" t="s">
        <v>51</v>
      </c>
      <c r="D283">
        <v>1</v>
      </c>
      <c r="E283">
        <v>1</v>
      </c>
      <c r="F283">
        <v>42.51</v>
      </c>
      <c r="G283">
        <v>0.34156669019054342</v>
      </c>
      <c r="H283">
        <v>5</v>
      </c>
      <c r="I283">
        <v>0</v>
      </c>
    </row>
    <row r="284" spans="1:9">
      <c r="A284">
        <v>2017</v>
      </c>
      <c r="B284" s="1">
        <v>42826</v>
      </c>
      <c r="C284" s="2" t="s">
        <v>51</v>
      </c>
      <c r="D284">
        <v>2</v>
      </c>
      <c r="E284">
        <v>2</v>
      </c>
      <c r="F284">
        <v>88.84</v>
      </c>
      <c r="G284">
        <v>0.33107455925570717</v>
      </c>
      <c r="H284">
        <v>5</v>
      </c>
      <c r="I284">
        <v>0</v>
      </c>
    </row>
    <row r="285" spans="1:9">
      <c r="A285">
        <v>2017</v>
      </c>
      <c r="B285" s="1">
        <v>42887</v>
      </c>
      <c r="C285" s="2" t="s">
        <v>51</v>
      </c>
      <c r="D285">
        <v>4</v>
      </c>
      <c r="E285">
        <v>4</v>
      </c>
      <c r="F285">
        <v>1141.1199999999999</v>
      </c>
      <c r="G285">
        <v>8.6076284012337093E-2</v>
      </c>
      <c r="H285">
        <v>3.25</v>
      </c>
      <c r="I285">
        <v>0.25</v>
      </c>
    </row>
    <row r="286" spans="1:9">
      <c r="A286">
        <v>2017</v>
      </c>
      <c r="B286" s="1">
        <v>42917</v>
      </c>
      <c r="C286" s="2" t="s">
        <v>51</v>
      </c>
      <c r="D286">
        <v>1</v>
      </c>
      <c r="E286">
        <v>1</v>
      </c>
      <c r="F286">
        <v>350.54</v>
      </c>
      <c r="G286">
        <v>6.144805157756604E-2</v>
      </c>
      <c r="H286">
        <v>3</v>
      </c>
      <c r="I286">
        <v>0</v>
      </c>
    </row>
    <row r="287" spans="1:9">
      <c r="A287">
        <v>2017</v>
      </c>
      <c r="B287" s="1">
        <v>43009</v>
      </c>
      <c r="C287" s="2" t="s">
        <v>51</v>
      </c>
      <c r="D287">
        <v>1</v>
      </c>
      <c r="E287">
        <v>1</v>
      </c>
      <c r="F287">
        <v>70.03</v>
      </c>
      <c r="G287">
        <v>0.21605026417249751</v>
      </c>
      <c r="H287">
        <v>5</v>
      </c>
      <c r="I287">
        <v>0</v>
      </c>
    </row>
    <row r="288" spans="1:9">
      <c r="A288">
        <v>2018</v>
      </c>
      <c r="B288" s="1">
        <v>43101</v>
      </c>
      <c r="C288" s="2" t="s">
        <v>51</v>
      </c>
      <c r="D288">
        <v>1</v>
      </c>
      <c r="E288">
        <v>1</v>
      </c>
      <c r="F288">
        <v>40.07</v>
      </c>
      <c r="G288">
        <v>0.3768405290741203</v>
      </c>
      <c r="H288">
        <v>5</v>
      </c>
      <c r="I288">
        <v>0</v>
      </c>
    </row>
    <row r="289" spans="1:9">
      <c r="A289">
        <v>2018</v>
      </c>
      <c r="B289" s="1">
        <v>43132</v>
      </c>
      <c r="C289" s="2" t="s">
        <v>51</v>
      </c>
      <c r="D289">
        <v>2</v>
      </c>
      <c r="E289">
        <v>2</v>
      </c>
      <c r="F289">
        <v>277.24</v>
      </c>
      <c r="G289">
        <v>0.22461792865984126</v>
      </c>
      <c r="H289">
        <v>3</v>
      </c>
      <c r="I289">
        <v>0</v>
      </c>
    </row>
    <row r="290" spans="1:9">
      <c r="A290">
        <v>2018</v>
      </c>
      <c r="B290" s="1">
        <v>43160</v>
      </c>
      <c r="C290" s="2" t="s">
        <v>51</v>
      </c>
      <c r="D290">
        <v>2</v>
      </c>
      <c r="E290">
        <v>2</v>
      </c>
      <c r="F290">
        <v>362.36</v>
      </c>
      <c r="G290">
        <v>0.22530986088111762</v>
      </c>
      <c r="H290">
        <v>3</v>
      </c>
      <c r="I290">
        <v>0</v>
      </c>
    </row>
    <row r="291" spans="1:9">
      <c r="A291">
        <v>2018</v>
      </c>
      <c r="B291" s="1">
        <v>43191</v>
      </c>
      <c r="C291" s="2" t="s">
        <v>51</v>
      </c>
      <c r="D291">
        <v>5</v>
      </c>
      <c r="E291">
        <v>5</v>
      </c>
      <c r="F291">
        <v>1842.06</v>
      </c>
      <c r="G291">
        <v>0.18562529429086347</v>
      </c>
      <c r="H291">
        <v>4</v>
      </c>
      <c r="I291">
        <v>0.2</v>
      </c>
    </row>
    <row r="292" spans="1:9">
      <c r="A292">
        <v>2018</v>
      </c>
      <c r="B292" s="1">
        <v>43221</v>
      </c>
      <c r="C292" s="2" t="s">
        <v>51</v>
      </c>
      <c r="D292">
        <v>5</v>
      </c>
      <c r="E292">
        <v>5</v>
      </c>
      <c r="F292">
        <v>827.4</v>
      </c>
      <c r="G292">
        <v>0.20637972913197</v>
      </c>
      <c r="H292">
        <v>3.8</v>
      </c>
      <c r="I292">
        <v>0</v>
      </c>
    </row>
    <row r="293" spans="1:9">
      <c r="A293">
        <v>2018</v>
      </c>
      <c r="B293" s="1">
        <v>43252</v>
      </c>
      <c r="C293" s="2" t="s">
        <v>51</v>
      </c>
      <c r="D293">
        <v>3</v>
      </c>
      <c r="E293">
        <v>3</v>
      </c>
      <c r="F293">
        <v>169.56</v>
      </c>
      <c r="G293">
        <v>0.43556155348382275</v>
      </c>
      <c r="H293">
        <v>4.333333333333333</v>
      </c>
      <c r="I293">
        <v>0</v>
      </c>
    </row>
    <row r="294" spans="1:9">
      <c r="A294">
        <v>2018</v>
      </c>
      <c r="B294" s="1">
        <v>43282</v>
      </c>
      <c r="C294" s="2" t="s">
        <v>51</v>
      </c>
      <c r="D294">
        <v>3</v>
      </c>
      <c r="E294">
        <v>3</v>
      </c>
      <c r="F294">
        <v>893.28</v>
      </c>
      <c r="G294">
        <v>0.17989232082990259</v>
      </c>
      <c r="H294">
        <v>5</v>
      </c>
      <c r="I294">
        <v>0</v>
      </c>
    </row>
    <row r="295" spans="1:9">
      <c r="A295">
        <v>2018</v>
      </c>
      <c r="B295" s="1">
        <v>43313</v>
      </c>
      <c r="C295" s="2" t="s">
        <v>51</v>
      </c>
      <c r="D295">
        <v>6</v>
      </c>
      <c r="E295">
        <v>6</v>
      </c>
      <c r="F295">
        <v>582.61</v>
      </c>
      <c r="G295">
        <v>0.27711873856135588</v>
      </c>
      <c r="H295">
        <v>4.666666666666667</v>
      </c>
      <c r="I295">
        <v>0</v>
      </c>
    </row>
    <row r="296" spans="1:9">
      <c r="A296">
        <v>2017</v>
      </c>
      <c r="B296" s="1">
        <v>42736</v>
      </c>
      <c r="C296" s="2" t="s">
        <v>33</v>
      </c>
      <c r="D296">
        <v>6</v>
      </c>
      <c r="E296">
        <v>6</v>
      </c>
      <c r="F296">
        <v>548.22</v>
      </c>
      <c r="G296">
        <v>0.2656097614159878</v>
      </c>
      <c r="H296">
        <v>3.6666666666666665</v>
      </c>
      <c r="I296">
        <v>0</v>
      </c>
    </row>
    <row r="297" spans="1:9">
      <c r="A297">
        <v>2017</v>
      </c>
      <c r="B297" s="1">
        <v>42767</v>
      </c>
      <c r="C297" s="2" t="s">
        <v>33</v>
      </c>
      <c r="D297">
        <v>22</v>
      </c>
      <c r="E297">
        <v>19</v>
      </c>
      <c r="F297">
        <v>2122.5</v>
      </c>
      <c r="G297">
        <v>0.27088477216439294</v>
      </c>
      <c r="H297">
        <v>4.0476190476190474</v>
      </c>
      <c r="I297">
        <v>0</v>
      </c>
    </row>
    <row r="298" spans="1:9">
      <c r="A298">
        <v>2017</v>
      </c>
      <c r="B298" s="1">
        <v>42795</v>
      </c>
      <c r="C298" s="2" t="s">
        <v>33</v>
      </c>
      <c r="D298">
        <v>17</v>
      </c>
      <c r="E298">
        <v>17</v>
      </c>
      <c r="F298">
        <v>2075.96</v>
      </c>
      <c r="G298">
        <v>0.16982801374887352</v>
      </c>
      <c r="H298">
        <v>4.4117647058823533</v>
      </c>
      <c r="I298">
        <v>5.8823529411764705E-2</v>
      </c>
    </row>
    <row r="299" spans="1:9">
      <c r="A299">
        <v>2017</v>
      </c>
      <c r="B299" s="1">
        <v>42826</v>
      </c>
      <c r="C299" s="2" t="s">
        <v>33</v>
      </c>
      <c r="D299">
        <v>20</v>
      </c>
      <c r="E299">
        <v>20</v>
      </c>
      <c r="F299">
        <v>4538.03</v>
      </c>
      <c r="G299">
        <v>0.18363164388667549</v>
      </c>
      <c r="H299">
        <v>3.75</v>
      </c>
      <c r="I299">
        <v>0</v>
      </c>
    </row>
    <row r="300" spans="1:9">
      <c r="A300">
        <v>2017</v>
      </c>
      <c r="B300" s="1">
        <v>42856</v>
      </c>
      <c r="C300" s="2" t="s">
        <v>33</v>
      </c>
      <c r="D300">
        <v>22</v>
      </c>
      <c r="E300">
        <v>21</v>
      </c>
      <c r="F300">
        <v>2859.28</v>
      </c>
      <c r="G300">
        <v>0.18607841774042344</v>
      </c>
      <c r="H300">
        <v>4.5</v>
      </c>
      <c r="I300">
        <v>0</v>
      </c>
    </row>
    <row r="301" spans="1:9">
      <c r="A301">
        <v>2017</v>
      </c>
      <c r="B301" s="1">
        <v>42887</v>
      </c>
      <c r="C301" s="2" t="s">
        <v>33</v>
      </c>
      <c r="D301">
        <v>16</v>
      </c>
      <c r="E301">
        <v>15</v>
      </c>
      <c r="F301">
        <v>1491.86</v>
      </c>
      <c r="G301">
        <v>0.18713935990004499</v>
      </c>
      <c r="H301">
        <v>3.6666666666666665</v>
      </c>
      <c r="I301">
        <v>6.6666666666666666E-2</v>
      </c>
    </row>
    <row r="302" spans="1:9">
      <c r="A302">
        <v>2017</v>
      </c>
      <c r="B302" s="1">
        <v>42917</v>
      </c>
      <c r="C302" s="2" t="s">
        <v>33</v>
      </c>
      <c r="D302">
        <v>13</v>
      </c>
      <c r="E302">
        <v>13</v>
      </c>
      <c r="F302">
        <v>1799.95</v>
      </c>
      <c r="G302">
        <v>0.18330803295123446</v>
      </c>
      <c r="H302">
        <v>3.6923076923076925</v>
      </c>
      <c r="I302">
        <v>0</v>
      </c>
    </row>
    <row r="303" spans="1:9">
      <c r="A303">
        <v>2017</v>
      </c>
      <c r="B303" s="1">
        <v>42948</v>
      </c>
      <c r="C303" s="2" t="s">
        <v>33</v>
      </c>
      <c r="D303">
        <v>23</v>
      </c>
      <c r="E303">
        <v>22</v>
      </c>
      <c r="F303">
        <v>2360.9299999999998</v>
      </c>
      <c r="G303">
        <v>0.21176936666323506</v>
      </c>
      <c r="H303">
        <v>4.1739130434782608</v>
      </c>
      <c r="I303">
        <v>0</v>
      </c>
    </row>
    <row r="304" spans="1:9">
      <c r="A304">
        <v>2017</v>
      </c>
      <c r="B304" s="1">
        <v>42979</v>
      </c>
      <c r="C304" s="2" t="s">
        <v>33</v>
      </c>
      <c r="D304">
        <v>11</v>
      </c>
      <c r="E304">
        <v>11</v>
      </c>
      <c r="F304">
        <v>1349.62</v>
      </c>
      <c r="G304">
        <v>0.1906254199318442</v>
      </c>
      <c r="H304">
        <v>3.8181818181818183</v>
      </c>
      <c r="I304">
        <v>0</v>
      </c>
    </row>
    <row r="305" spans="1:9">
      <c r="A305">
        <v>2017</v>
      </c>
      <c r="B305" s="1">
        <v>43009</v>
      </c>
      <c r="C305" s="2" t="s">
        <v>33</v>
      </c>
      <c r="D305">
        <v>11</v>
      </c>
      <c r="E305">
        <v>10</v>
      </c>
      <c r="F305">
        <v>1178.1199999999999</v>
      </c>
      <c r="G305">
        <v>0.22046552953796236</v>
      </c>
      <c r="H305">
        <v>3.9</v>
      </c>
      <c r="I305">
        <v>0.1</v>
      </c>
    </row>
    <row r="306" spans="1:9">
      <c r="A306">
        <v>2017</v>
      </c>
      <c r="B306" s="1">
        <v>43040</v>
      </c>
      <c r="C306" s="2" t="s">
        <v>33</v>
      </c>
      <c r="D306">
        <v>16</v>
      </c>
      <c r="E306">
        <v>11</v>
      </c>
      <c r="F306">
        <v>1682.61</v>
      </c>
      <c r="G306">
        <v>0.28371530389950861</v>
      </c>
      <c r="H306">
        <v>4.375</v>
      </c>
      <c r="I306">
        <v>0</v>
      </c>
    </row>
    <row r="307" spans="1:9">
      <c r="A307">
        <v>2017</v>
      </c>
      <c r="B307" s="1">
        <v>43070</v>
      </c>
      <c r="C307" s="2" t="s">
        <v>33</v>
      </c>
      <c r="D307">
        <v>14</v>
      </c>
      <c r="E307">
        <v>13</v>
      </c>
      <c r="F307">
        <v>884.26</v>
      </c>
      <c r="G307">
        <v>0.2592947051617448</v>
      </c>
      <c r="H307">
        <v>4.2307692307692308</v>
      </c>
      <c r="I307">
        <v>0</v>
      </c>
    </row>
    <row r="308" spans="1:9">
      <c r="A308">
        <v>2018</v>
      </c>
      <c r="B308" s="1">
        <v>43101</v>
      </c>
      <c r="C308" s="2" t="s">
        <v>33</v>
      </c>
      <c r="D308">
        <v>14</v>
      </c>
      <c r="E308">
        <v>12</v>
      </c>
      <c r="F308">
        <v>1046.76</v>
      </c>
      <c r="G308">
        <v>0.25171009162429397</v>
      </c>
      <c r="H308">
        <v>4.2142857142857144</v>
      </c>
      <c r="I308">
        <v>0</v>
      </c>
    </row>
    <row r="309" spans="1:9">
      <c r="A309">
        <v>2018</v>
      </c>
      <c r="B309" s="1">
        <v>43132</v>
      </c>
      <c r="C309" s="2" t="s">
        <v>33</v>
      </c>
      <c r="D309">
        <v>28</v>
      </c>
      <c r="E309">
        <v>20</v>
      </c>
      <c r="F309">
        <v>2366.34</v>
      </c>
      <c r="G309">
        <v>0.2407832529159315</v>
      </c>
      <c r="H309">
        <v>3.8214285714285716</v>
      </c>
      <c r="I309">
        <v>0.1</v>
      </c>
    </row>
    <row r="310" spans="1:9">
      <c r="A310">
        <v>2018</v>
      </c>
      <c r="B310" s="1">
        <v>43160</v>
      </c>
      <c r="C310" s="2" t="s">
        <v>33</v>
      </c>
      <c r="D310">
        <v>17</v>
      </c>
      <c r="E310">
        <v>16</v>
      </c>
      <c r="F310">
        <v>1855.19</v>
      </c>
      <c r="G310">
        <v>0.21801100830611625</v>
      </c>
      <c r="H310">
        <v>3.3529411764705883</v>
      </c>
      <c r="I310">
        <v>0.25</v>
      </c>
    </row>
    <row r="311" spans="1:9">
      <c r="A311">
        <v>2018</v>
      </c>
      <c r="B311" s="1">
        <v>43191</v>
      </c>
      <c r="C311" s="2" t="s">
        <v>33</v>
      </c>
      <c r="D311">
        <v>15</v>
      </c>
      <c r="E311">
        <v>15</v>
      </c>
      <c r="F311">
        <v>844.83</v>
      </c>
      <c r="G311">
        <v>0.28630160647936126</v>
      </c>
      <c r="H311">
        <v>4.5999999999999996</v>
      </c>
      <c r="I311">
        <v>0</v>
      </c>
    </row>
    <row r="312" spans="1:9">
      <c r="A312">
        <v>2018</v>
      </c>
      <c r="B312" s="1">
        <v>43221</v>
      </c>
      <c r="C312" s="2" t="s">
        <v>33</v>
      </c>
      <c r="D312">
        <v>14</v>
      </c>
      <c r="E312">
        <v>13</v>
      </c>
      <c r="F312">
        <v>1186.79</v>
      </c>
      <c r="G312">
        <v>0.24590711175966207</v>
      </c>
      <c r="H312">
        <v>3.4285714285714284</v>
      </c>
      <c r="I312">
        <v>7.6923076923076927E-2</v>
      </c>
    </row>
    <row r="313" spans="1:9">
      <c r="A313">
        <v>2018</v>
      </c>
      <c r="B313" s="1">
        <v>43252</v>
      </c>
      <c r="C313" s="2" t="s">
        <v>33</v>
      </c>
      <c r="D313">
        <v>7</v>
      </c>
      <c r="E313">
        <v>7</v>
      </c>
      <c r="F313">
        <v>678.79</v>
      </c>
      <c r="G313">
        <v>0.2273260540071072</v>
      </c>
      <c r="H313">
        <v>3.8571428571428572</v>
      </c>
      <c r="I313">
        <v>0</v>
      </c>
    </row>
    <row r="314" spans="1:9">
      <c r="A314">
        <v>2018</v>
      </c>
      <c r="B314" s="1">
        <v>43282</v>
      </c>
      <c r="C314" s="2" t="s">
        <v>33</v>
      </c>
      <c r="D314">
        <v>4</v>
      </c>
      <c r="E314">
        <v>4</v>
      </c>
      <c r="F314">
        <v>277.33999999999997</v>
      </c>
      <c r="G314">
        <v>0.32176906535542521</v>
      </c>
      <c r="H314">
        <v>4.75</v>
      </c>
      <c r="I314">
        <v>0</v>
      </c>
    </row>
    <row r="315" spans="1:9">
      <c r="A315">
        <v>2018</v>
      </c>
      <c r="B315" s="1">
        <v>43313</v>
      </c>
      <c r="C315" s="2" t="s">
        <v>33</v>
      </c>
      <c r="D315">
        <v>8</v>
      </c>
      <c r="E315">
        <v>8</v>
      </c>
      <c r="F315">
        <v>1107.97</v>
      </c>
      <c r="G315">
        <v>0.1515524425527193</v>
      </c>
      <c r="H315">
        <v>3.75</v>
      </c>
      <c r="I315">
        <v>0.125</v>
      </c>
    </row>
    <row r="316" spans="1:9">
      <c r="A316">
        <v>2017</v>
      </c>
      <c r="B316" s="1">
        <v>42736</v>
      </c>
      <c r="C316" s="2" t="s">
        <v>50</v>
      </c>
      <c r="D316">
        <v>5</v>
      </c>
      <c r="E316">
        <v>4</v>
      </c>
      <c r="F316">
        <v>565.38</v>
      </c>
      <c r="G316">
        <v>0.15708618620021578</v>
      </c>
      <c r="H316">
        <v>4.8</v>
      </c>
      <c r="I316">
        <v>0.25</v>
      </c>
    </row>
    <row r="317" spans="1:9">
      <c r="A317">
        <v>2017</v>
      </c>
      <c r="B317" s="1">
        <v>42767</v>
      </c>
      <c r="C317" s="2" t="s">
        <v>50</v>
      </c>
      <c r="D317">
        <v>21</v>
      </c>
      <c r="E317">
        <v>20</v>
      </c>
      <c r="F317">
        <v>2136.16</v>
      </c>
      <c r="G317">
        <v>0.21048848825807678</v>
      </c>
      <c r="H317">
        <v>4.333333333333333</v>
      </c>
      <c r="I317">
        <v>0</v>
      </c>
    </row>
    <row r="318" spans="1:9">
      <c r="A318">
        <v>2017</v>
      </c>
      <c r="B318" s="1">
        <v>42795</v>
      </c>
      <c r="C318" s="2" t="s">
        <v>50</v>
      </c>
      <c r="D318">
        <v>38</v>
      </c>
      <c r="E318">
        <v>35</v>
      </c>
      <c r="F318">
        <v>7378.39</v>
      </c>
      <c r="G318">
        <v>0.19898003067348402</v>
      </c>
      <c r="H318">
        <v>4.5789473684210522</v>
      </c>
      <c r="I318">
        <v>2.8571428571428571E-2</v>
      </c>
    </row>
    <row r="319" spans="1:9">
      <c r="A319">
        <v>2017</v>
      </c>
      <c r="B319" s="1">
        <v>42826</v>
      </c>
      <c r="C319" s="2" t="s">
        <v>50</v>
      </c>
      <c r="D319">
        <v>49</v>
      </c>
      <c r="E319">
        <v>47</v>
      </c>
      <c r="F319">
        <v>8639.74</v>
      </c>
      <c r="G319">
        <v>0.17593359467206934</v>
      </c>
      <c r="H319">
        <v>4.4255319148936172</v>
      </c>
      <c r="I319">
        <v>4.2553191489361701E-2</v>
      </c>
    </row>
    <row r="320" spans="1:9">
      <c r="A320">
        <v>2017</v>
      </c>
      <c r="B320" s="1">
        <v>42856</v>
      </c>
      <c r="C320" s="2" t="s">
        <v>50</v>
      </c>
      <c r="D320">
        <v>70</v>
      </c>
      <c r="E320">
        <v>64</v>
      </c>
      <c r="F320">
        <v>14860.09</v>
      </c>
      <c r="G320">
        <v>0.17702552140277467</v>
      </c>
      <c r="H320">
        <v>4.2571428571428571</v>
      </c>
      <c r="I320">
        <v>1.5625E-2</v>
      </c>
    </row>
    <row r="321" spans="1:9">
      <c r="A321">
        <v>2017</v>
      </c>
      <c r="B321" s="1">
        <v>42887</v>
      </c>
      <c r="C321" s="2" t="s">
        <v>50</v>
      </c>
      <c r="D321">
        <v>61</v>
      </c>
      <c r="E321">
        <v>60</v>
      </c>
      <c r="F321">
        <v>10294.040000000001</v>
      </c>
      <c r="G321">
        <v>0.21350040945087859</v>
      </c>
      <c r="H321">
        <v>4.442622950819672</v>
      </c>
      <c r="I321">
        <v>3.3333333333333333E-2</v>
      </c>
    </row>
    <row r="322" spans="1:9">
      <c r="A322">
        <v>2017</v>
      </c>
      <c r="B322" s="1">
        <v>42917</v>
      </c>
      <c r="C322" s="2" t="s">
        <v>50</v>
      </c>
      <c r="D322">
        <v>74</v>
      </c>
      <c r="E322">
        <v>73</v>
      </c>
      <c r="F322">
        <v>10305.01</v>
      </c>
      <c r="G322">
        <v>0.19516194401982981</v>
      </c>
      <c r="H322">
        <v>4.3561643835616435</v>
      </c>
      <c r="I322">
        <v>6.8493150684931503E-2</v>
      </c>
    </row>
    <row r="323" spans="1:9">
      <c r="A323">
        <v>2017</v>
      </c>
      <c r="B323" s="1">
        <v>42948</v>
      </c>
      <c r="C323" s="2" t="s">
        <v>50</v>
      </c>
      <c r="D323">
        <v>63</v>
      </c>
      <c r="E323">
        <v>58</v>
      </c>
      <c r="F323">
        <v>8510.77</v>
      </c>
      <c r="G323">
        <v>0.20808660554752781</v>
      </c>
      <c r="H323">
        <v>4.4444444444444446</v>
      </c>
      <c r="I323">
        <v>3.4482758620689655E-2</v>
      </c>
    </row>
    <row r="324" spans="1:9">
      <c r="A324">
        <v>2017</v>
      </c>
      <c r="B324" s="1">
        <v>42979</v>
      </c>
      <c r="C324" s="2" t="s">
        <v>50</v>
      </c>
      <c r="D324">
        <v>42</v>
      </c>
      <c r="E324">
        <v>41</v>
      </c>
      <c r="F324">
        <v>4859.6899999999996</v>
      </c>
      <c r="G324">
        <v>0.21798202041860526</v>
      </c>
      <c r="H324">
        <v>4.5476190476190474</v>
      </c>
      <c r="I324">
        <v>4.878048780487805E-2</v>
      </c>
    </row>
    <row r="325" spans="1:9">
      <c r="A325">
        <v>2017</v>
      </c>
      <c r="B325" s="1">
        <v>43009</v>
      </c>
      <c r="C325" s="2" t="s">
        <v>50</v>
      </c>
      <c r="D325">
        <v>56</v>
      </c>
      <c r="E325">
        <v>52</v>
      </c>
      <c r="F325">
        <v>7717.36</v>
      </c>
      <c r="G325">
        <v>0.19741241987276711</v>
      </c>
      <c r="H325">
        <v>4.5178571428571432</v>
      </c>
      <c r="I325">
        <v>0</v>
      </c>
    </row>
    <row r="326" spans="1:9">
      <c r="A326">
        <v>2017</v>
      </c>
      <c r="B326" s="1">
        <v>43040</v>
      </c>
      <c r="C326" s="2" t="s">
        <v>50</v>
      </c>
      <c r="D326">
        <v>72</v>
      </c>
      <c r="E326">
        <v>65</v>
      </c>
      <c r="F326">
        <v>10796.04</v>
      </c>
      <c r="G326">
        <v>0.22453330441894812</v>
      </c>
      <c r="H326">
        <v>4.2777777777777777</v>
      </c>
      <c r="I326">
        <v>3.0769230769230771E-2</v>
      </c>
    </row>
    <row r="327" spans="1:9">
      <c r="A327">
        <v>2017</v>
      </c>
      <c r="B327" s="1">
        <v>43070</v>
      </c>
      <c r="C327" s="2" t="s">
        <v>50</v>
      </c>
      <c r="D327">
        <v>47</v>
      </c>
      <c r="E327">
        <v>45</v>
      </c>
      <c r="F327">
        <v>7437.89</v>
      </c>
      <c r="G327">
        <v>0.16125878100994234</v>
      </c>
      <c r="H327">
        <v>4.3191489361702127</v>
      </c>
      <c r="I327">
        <v>2.2222222222222223E-2</v>
      </c>
    </row>
    <row r="328" spans="1:9">
      <c r="A328">
        <v>2018</v>
      </c>
      <c r="B328" s="1">
        <v>43101</v>
      </c>
      <c r="C328" s="2" t="s">
        <v>50</v>
      </c>
      <c r="D328">
        <v>128</v>
      </c>
      <c r="E328">
        <v>123</v>
      </c>
      <c r="F328">
        <v>22077.68</v>
      </c>
      <c r="G328">
        <v>0.16514359021692723</v>
      </c>
      <c r="H328">
        <v>4.1328125</v>
      </c>
      <c r="I328">
        <v>5.6910569105691054E-2</v>
      </c>
    </row>
    <row r="329" spans="1:9">
      <c r="A329">
        <v>2018</v>
      </c>
      <c r="B329" s="1">
        <v>43132</v>
      </c>
      <c r="C329" s="2" t="s">
        <v>50</v>
      </c>
      <c r="D329">
        <v>47</v>
      </c>
      <c r="E329">
        <v>45</v>
      </c>
      <c r="F329">
        <v>7783.94</v>
      </c>
      <c r="G329">
        <v>0.18705279659827512</v>
      </c>
      <c r="H329">
        <v>3.5</v>
      </c>
      <c r="I329">
        <v>0.1111111111111111</v>
      </c>
    </row>
    <row r="330" spans="1:9">
      <c r="A330">
        <v>2018</v>
      </c>
      <c r="B330" s="1">
        <v>43160</v>
      </c>
      <c r="C330" s="2" t="s">
        <v>50</v>
      </c>
      <c r="D330">
        <v>57</v>
      </c>
      <c r="E330">
        <v>52</v>
      </c>
      <c r="F330">
        <v>7406.85</v>
      </c>
      <c r="G330">
        <v>0.23074060012954256</v>
      </c>
      <c r="H330">
        <v>4.25</v>
      </c>
      <c r="I330">
        <v>0.13461538461538461</v>
      </c>
    </row>
    <row r="331" spans="1:9">
      <c r="A331">
        <v>2018</v>
      </c>
      <c r="B331" s="1">
        <v>43191</v>
      </c>
      <c r="C331" s="2" t="s">
        <v>50</v>
      </c>
      <c r="D331">
        <v>57</v>
      </c>
      <c r="E331">
        <v>53</v>
      </c>
      <c r="F331">
        <v>10272.07</v>
      </c>
      <c r="G331">
        <v>0.18720416264889617</v>
      </c>
      <c r="H331">
        <v>4.4385964912280702</v>
      </c>
      <c r="I331">
        <v>3.7735849056603772E-2</v>
      </c>
    </row>
    <row r="332" spans="1:9">
      <c r="A332">
        <v>2018</v>
      </c>
      <c r="B332" s="1">
        <v>43221</v>
      </c>
      <c r="C332" s="2" t="s">
        <v>50</v>
      </c>
      <c r="D332">
        <v>49</v>
      </c>
      <c r="E332">
        <v>44</v>
      </c>
      <c r="F332">
        <v>8245.49</v>
      </c>
      <c r="G332">
        <v>0.22419894489799053</v>
      </c>
      <c r="H332">
        <v>4.229166666666667</v>
      </c>
      <c r="I332">
        <v>4.5454545454545456E-2</v>
      </c>
    </row>
    <row r="333" spans="1:9">
      <c r="A333">
        <v>2018</v>
      </c>
      <c r="B333" s="1">
        <v>43252</v>
      </c>
      <c r="C333" s="2" t="s">
        <v>50</v>
      </c>
      <c r="D333">
        <v>36</v>
      </c>
      <c r="E333">
        <v>36</v>
      </c>
      <c r="F333">
        <v>6138.72</v>
      </c>
      <c r="G333">
        <v>0.19324659264909699</v>
      </c>
      <c r="H333">
        <v>4.4722222222222223</v>
      </c>
      <c r="I333">
        <v>0</v>
      </c>
    </row>
    <row r="334" spans="1:9">
      <c r="A334">
        <v>2018</v>
      </c>
      <c r="B334" s="1">
        <v>43282</v>
      </c>
      <c r="C334" s="2" t="s">
        <v>50</v>
      </c>
      <c r="D334">
        <v>54</v>
      </c>
      <c r="E334">
        <v>53</v>
      </c>
      <c r="F334">
        <v>7193.09</v>
      </c>
      <c r="G334">
        <v>0.20567561686180527</v>
      </c>
      <c r="H334">
        <v>4.3703703703703702</v>
      </c>
      <c r="I334">
        <v>1.8867924528301886E-2</v>
      </c>
    </row>
    <row r="335" spans="1:9">
      <c r="A335">
        <v>2018</v>
      </c>
      <c r="B335" s="1">
        <v>43313</v>
      </c>
      <c r="C335" s="2" t="s">
        <v>50</v>
      </c>
      <c r="D335">
        <v>66</v>
      </c>
      <c r="E335">
        <v>64</v>
      </c>
      <c r="F335">
        <v>8256.81</v>
      </c>
      <c r="G335">
        <v>0.18897898621314013</v>
      </c>
      <c r="H335">
        <v>4.333333333333333</v>
      </c>
      <c r="I335">
        <v>3.125E-2</v>
      </c>
    </row>
    <row r="336" spans="1:9">
      <c r="A336">
        <v>2017</v>
      </c>
      <c r="B336" s="1">
        <v>42826</v>
      </c>
      <c r="C336" s="2" t="s">
        <v>72</v>
      </c>
      <c r="D336">
        <v>1</v>
      </c>
      <c r="E336">
        <v>1</v>
      </c>
      <c r="F336">
        <v>34.81</v>
      </c>
      <c r="G336">
        <v>0.31054294742889976</v>
      </c>
      <c r="H336">
        <v>1</v>
      </c>
      <c r="I336">
        <v>0</v>
      </c>
    </row>
    <row r="337" spans="1:9">
      <c r="A337">
        <v>2017</v>
      </c>
      <c r="B337" s="1">
        <v>42856</v>
      </c>
      <c r="C337" s="2" t="s">
        <v>72</v>
      </c>
      <c r="D337">
        <v>1</v>
      </c>
      <c r="E337">
        <v>1</v>
      </c>
      <c r="F337">
        <v>232.19</v>
      </c>
      <c r="G337">
        <v>0.16878418536543349</v>
      </c>
      <c r="H337">
        <v>5</v>
      </c>
      <c r="I337">
        <v>0</v>
      </c>
    </row>
    <row r="338" spans="1:9">
      <c r="A338">
        <v>2017</v>
      </c>
      <c r="B338" s="1">
        <v>42917</v>
      </c>
      <c r="C338" s="2" t="s">
        <v>72</v>
      </c>
      <c r="D338">
        <v>4</v>
      </c>
      <c r="E338">
        <v>4</v>
      </c>
      <c r="F338">
        <v>559.23</v>
      </c>
      <c r="G338">
        <v>0.15762229801755773</v>
      </c>
      <c r="H338">
        <v>5</v>
      </c>
      <c r="I338">
        <v>0</v>
      </c>
    </row>
    <row r="339" spans="1:9">
      <c r="A339">
        <v>2017</v>
      </c>
      <c r="B339" s="1">
        <v>42948</v>
      </c>
      <c r="C339" s="2" t="s">
        <v>72</v>
      </c>
      <c r="D339">
        <v>2</v>
      </c>
      <c r="E339">
        <v>2</v>
      </c>
      <c r="F339">
        <v>373.52</v>
      </c>
      <c r="G339">
        <v>0.15853456794677848</v>
      </c>
      <c r="H339">
        <v>5</v>
      </c>
      <c r="I339">
        <v>0</v>
      </c>
    </row>
    <row r="340" spans="1:9">
      <c r="A340">
        <v>2017</v>
      </c>
      <c r="B340" s="1">
        <v>43009</v>
      </c>
      <c r="C340" s="2" t="s">
        <v>72</v>
      </c>
      <c r="D340">
        <v>1</v>
      </c>
      <c r="E340">
        <v>1</v>
      </c>
      <c r="F340">
        <v>160.83000000000001</v>
      </c>
      <c r="G340">
        <v>0.14816887396629982</v>
      </c>
      <c r="H340">
        <v>5</v>
      </c>
      <c r="I340">
        <v>0</v>
      </c>
    </row>
    <row r="341" spans="1:9">
      <c r="A341">
        <v>2017</v>
      </c>
      <c r="B341" s="1">
        <v>43040</v>
      </c>
      <c r="C341" s="2" t="s">
        <v>72</v>
      </c>
      <c r="D341">
        <v>1</v>
      </c>
      <c r="E341">
        <v>1</v>
      </c>
      <c r="F341">
        <v>137.11000000000001</v>
      </c>
      <c r="G341">
        <v>8.0227554518270006E-4</v>
      </c>
      <c r="I341">
        <v>0</v>
      </c>
    </row>
    <row r="342" spans="1:9">
      <c r="A342">
        <v>2018</v>
      </c>
      <c r="B342" s="1">
        <v>43101</v>
      </c>
      <c r="C342" s="2" t="s">
        <v>72</v>
      </c>
      <c r="D342">
        <v>1</v>
      </c>
      <c r="E342">
        <v>1</v>
      </c>
      <c r="F342">
        <v>130.03</v>
      </c>
      <c r="G342">
        <v>0.13866030915942476</v>
      </c>
      <c r="H342">
        <v>5</v>
      </c>
      <c r="I342">
        <v>0</v>
      </c>
    </row>
    <row r="343" spans="1:9">
      <c r="A343">
        <v>2018</v>
      </c>
      <c r="B343" s="1">
        <v>43160</v>
      </c>
      <c r="C343" s="2" t="s">
        <v>72</v>
      </c>
      <c r="D343">
        <v>1</v>
      </c>
      <c r="E343">
        <v>1</v>
      </c>
      <c r="F343">
        <v>426.7</v>
      </c>
      <c r="G343">
        <v>8.8352472463088819E-2</v>
      </c>
      <c r="H343">
        <v>4</v>
      </c>
      <c r="I343">
        <v>0</v>
      </c>
    </row>
    <row r="344" spans="1:9">
      <c r="A344">
        <v>2018</v>
      </c>
      <c r="B344" s="1">
        <v>43191</v>
      </c>
      <c r="C344" s="2" t="s">
        <v>72</v>
      </c>
      <c r="D344">
        <v>2</v>
      </c>
      <c r="E344">
        <v>1</v>
      </c>
      <c r="F344">
        <v>334.12</v>
      </c>
      <c r="G344">
        <v>0.16197773255117923</v>
      </c>
      <c r="H344">
        <v>1</v>
      </c>
      <c r="I344">
        <v>0</v>
      </c>
    </row>
    <row r="345" spans="1:9">
      <c r="A345">
        <v>2017</v>
      </c>
      <c r="B345" s="1">
        <v>42736</v>
      </c>
      <c r="C345" s="2" t="s">
        <v>49</v>
      </c>
      <c r="D345">
        <v>1</v>
      </c>
      <c r="E345">
        <v>1</v>
      </c>
      <c r="F345">
        <v>128.19999999999999</v>
      </c>
      <c r="G345">
        <v>0.1419656786271451</v>
      </c>
      <c r="I345">
        <v>0</v>
      </c>
    </row>
    <row r="346" spans="1:9">
      <c r="A346">
        <v>2017</v>
      </c>
      <c r="B346" s="1">
        <v>42767</v>
      </c>
      <c r="C346" s="2" t="s">
        <v>49</v>
      </c>
      <c r="D346">
        <v>2</v>
      </c>
      <c r="E346">
        <v>2</v>
      </c>
      <c r="F346">
        <v>178.33</v>
      </c>
      <c r="G346">
        <v>0.26308673252051562</v>
      </c>
      <c r="H346">
        <v>4</v>
      </c>
      <c r="I346">
        <v>0</v>
      </c>
    </row>
    <row r="347" spans="1:9">
      <c r="A347">
        <v>2017</v>
      </c>
      <c r="B347" s="1">
        <v>42795</v>
      </c>
      <c r="C347" s="2" t="s">
        <v>49</v>
      </c>
      <c r="D347">
        <v>3</v>
      </c>
      <c r="E347">
        <v>3</v>
      </c>
      <c r="F347">
        <v>169.05</v>
      </c>
      <c r="G347">
        <v>0.33069724088332253</v>
      </c>
      <c r="H347">
        <v>4</v>
      </c>
      <c r="I347">
        <v>0</v>
      </c>
    </row>
    <row r="348" spans="1:9">
      <c r="A348">
        <v>2017</v>
      </c>
      <c r="B348" s="1">
        <v>42826</v>
      </c>
      <c r="C348" s="2" t="s">
        <v>49</v>
      </c>
      <c r="D348">
        <v>9</v>
      </c>
      <c r="E348">
        <v>8</v>
      </c>
      <c r="F348">
        <v>1282.0999999999999</v>
      </c>
      <c r="G348">
        <v>0.34096854372729246</v>
      </c>
      <c r="H348">
        <v>3.8888888888888888</v>
      </c>
      <c r="I348">
        <v>0</v>
      </c>
    </row>
    <row r="349" spans="1:9">
      <c r="A349">
        <v>2017</v>
      </c>
      <c r="B349" s="1">
        <v>42856</v>
      </c>
      <c r="C349" s="2" t="s">
        <v>49</v>
      </c>
      <c r="D349">
        <v>9</v>
      </c>
      <c r="E349">
        <v>9</v>
      </c>
      <c r="F349">
        <v>1637.21</v>
      </c>
      <c r="G349">
        <v>0.34140865399702308</v>
      </c>
      <c r="H349">
        <v>4.1111111111111107</v>
      </c>
      <c r="I349">
        <v>0</v>
      </c>
    </row>
    <row r="350" spans="1:9">
      <c r="A350">
        <v>2017</v>
      </c>
      <c r="B350" s="1">
        <v>42887</v>
      </c>
      <c r="C350" s="2" t="s">
        <v>49</v>
      </c>
      <c r="D350">
        <v>4</v>
      </c>
      <c r="E350">
        <v>4</v>
      </c>
      <c r="F350">
        <v>542.59</v>
      </c>
      <c r="G350">
        <v>0.35820163766208435</v>
      </c>
      <c r="H350">
        <v>4.75</v>
      </c>
      <c r="I350">
        <v>0</v>
      </c>
    </row>
    <row r="351" spans="1:9">
      <c r="A351">
        <v>2017</v>
      </c>
      <c r="B351" s="1">
        <v>42917</v>
      </c>
      <c r="C351" s="2" t="s">
        <v>49</v>
      </c>
      <c r="D351">
        <v>11</v>
      </c>
      <c r="E351">
        <v>9</v>
      </c>
      <c r="F351">
        <v>1657.56</v>
      </c>
      <c r="G351">
        <v>0.24310818716125834</v>
      </c>
      <c r="H351">
        <v>4.4545454545454541</v>
      </c>
      <c r="I351">
        <v>0</v>
      </c>
    </row>
    <row r="352" spans="1:9">
      <c r="A352">
        <v>2017</v>
      </c>
      <c r="B352" s="1">
        <v>42948</v>
      </c>
      <c r="C352" s="2" t="s">
        <v>49</v>
      </c>
      <c r="D352">
        <v>7</v>
      </c>
      <c r="E352">
        <v>7</v>
      </c>
      <c r="F352">
        <v>1231.29</v>
      </c>
      <c r="G352">
        <v>0.19826130934495639</v>
      </c>
      <c r="H352">
        <v>3.8571428571428572</v>
      </c>
      <c r="I352">
        <v>0</v>
      </c>
    </row>
    <row r="353" spans="1:9">
      <c r="A353">
        <v>2017</v>
      </c>
      <c r="B353" s="1">
        <v>42979</v>
      </c>
      <c r="C353" s="2" t="s">
        <v>49</v>
      </c>
      <c r="D353">
        <v>5</v>
      </c>
      <c r="E353">
        <v>5</v>
      </c>
      <c r="F353">
        <v>602.66</v>
      </c>
      <c r="G353">
        <v>0.24532094045314792</v>
      </c>
      <c r="H353">
        <v>4</v>
      </c>
      <c r="I353">
        <v>0</v>
      </c>
    </row>
    <row r="354" spans="1:9">
      <c r="A354">
        <v>2017</v>
      </c>
      <c r="B354" s="1">
        <v>43009</v>
      </c>
      <c r="C354" s="2" t="s">
        <v>49</v>
      </c>
      <c r="D354">
        <v>16</v>
      </c>
      <c r="E354">
        <v>14</v>
      </c>
      <c r="F354">
        <v>4295.41</v>
      </c>
      <c r="G354">
        <v>0.2083826163025681</v>
      </c>
      <c r="H354">
        <v>3.6666666666666665</v>
      </c>
      <c r="I354">
        <v>7.1428571428571425E-2</v>
      </c>
    </row>
    <row r="355" spans="1:9">
      <c r="A355">
        <v>2017</v>
      </c>
      <c r="B355" s="1">
        <v>43040</v>
      </c>
      <c r="C355" s="2" t="s">
        <v>49</v>
      </c>
      <c r="D355">
        <v>33</v>
      </c>
      <c r="E355">
        <v>28</v>
      </c>
      <c r="F355">
        <v>6387.13</v>
      </c>
      <c r="G355">
        <v>0.25198407540157336</v>
      </c>
      <c r="H355">
        <v>3.9393939393939394</v>
      </c>
      <c r="I355">
        <v>0.14285714285714285</v>
      </c>
    </row>
    <row r="356" spans="1:9">
      <c r="A356">
        <v>2017</v>
      </c>
      <c r="B356" s="1">
        <v>43070</v>
      </c>
      <c r="C356" s="2" t="s">
        <v>49</v>
      </c>
      <c r="D356">
        <v>20</v>
      </c>
      <c r="E356">
        <v>16</v>
      </c>
      <c r="F356">
        <v>5265.02</v>
      </c>
      <c r="G356">
        <v>0.22421421298513031</v>
      </c>
      <c r="H356">
        <v>3.9</v>
      </c>
      <c r="I356">
        <v>6.25E-2</v>
      </c>
    </row>
    <row r="357" spans="1:9">
      <c r="A357">
        <v>2018</v>
      </c>
      <c r="B357" s="1">
        <v>43101</v>
      </c>
      <c r="C357" s="2" t="s">
        <v>49</v>
      </c>
      <c r="D357">
        <v>21</v>
      </c>
      <c r="E357">
        <v>20</v>
      </c>
      <c r="F357">
        <v>5949.22</v>
      </c>
      <c r="G357">
        <v>0.23922715328204092</v>
      </c>
      <c r="H357">
        <v>4.4761904761904763</v>
      </c>
      <c r="I357">
        <v>0.05</v>
      </c>
    </row>
    <row r="358" spans="1:9">
      <c r="A358">
        <v>2018</v>
      </c>
      <c r="B358" s="1">
        <v>43132</v>
      </c>
      <c r="C358" s="2" t="s">
        <v>49</v>
      </c>
      <c r="D358">
        <v>20</v>
      </c>
      <c r="E358">
        <v>17</v>
      </c>
      <c r="F358">
        <v>5699.14</v>
      </c>
      <c r="G358">
        <v>0.23376840787961758</v>
      </c>
      <c r="H358">
        <v>4.2</v>
      </c>
      <c r="I358">
        <v>0.11764705882352941</v>
      </c>
    </row>
    <row r="359" spans="1:9">
      <c r="A359">
        <v>2018</v>
      </c>
      <c r="B359" s="1">
        <v>43160</v>
      </c>
      <c r="C359" s="2" t="s">
        <v>49</v>
      </c>
      <c r="D359">
        <v>12</v>
      </c>
      <c r="E359">
        <v>12</v>
      </c>
      <c r="F359">
        <v>3602.02</v>
      </c>
      <c r="G359">
        <v>0.26903863968589198</v>
      </c>
      <c r="H359">
        <v>3.9166666666666665</v>
      </c>
      <c r="I359">
        <v>0.25</v>
      </c>
    </row>
    <row r="360" spans="1:9">
      <c r="A360">
        <v>2018</v>
      </c>
      <c r="B360" s="1">
        <v>43191</v>
      </c>
      <c r="C360" s="2" t="s">
        <v>49</v>
      </c>
      <c r="D360">
        <v>20</v>
      </c>
      <c r="E360">
        <v>19</v>
      </c>
      <c r="F360">
        <v>4288.1899999999996</v>
      </c>
      <c r="G360">
        <v>0.2377003006460604</v>
      </c>
      <c r="H360">
        <v>4.1578947368421053</v>
      </c>
      <c r="I360">
        <v>0</v>
      </c>
    </row>
    <row r="361" spans="1:9">
      <c r="A361">
        <v>2018</v>
      </c>
      <c r="B361" s="1">
        <v>43221</v>
      </c>
      <c r="C361" s="2" t="s">
        <v>49</v>
      </c>
      <c r="D361">
        <v>13</v>
      </c>
      <c r="E361">
        <v>10</v>
      </c>
      <c r="F361">
        <v>2861.28</v>
      </c>
      <c r="G361">
        <v>0.20414098040263223</v>
      </c>
      <c r="H361">
        <v>3.6153846153846154</v>
      </c>
      <c r="I361">
        <v>0</v>
      </c>
    </row>
    <row r="362" spans="1:9">
      <c r="A362">
        <v>2018</v>
      </c>
      <c r="B362" s="1">
        <v>43252</v>
      </c>
      <c r="C362" s="2" t="s">
        <v>49</v>
      </c>
      <c r="D362">
        <v>30</v>
      </c>
      <c r="E362">
        <v>22</v>
      </c>
      <c r="F362">
        <v>4742.2</v>
      </c>
      <c r="G362">
        <v>0.22994581264130989</v>
      </c>
      <c r="H362">
        <v>2.9333333333333331</v>
      </c>
      <c r="I362">
        <v>0</v>
      </c>
    </row>
    <row r="363" spans="1:9">
      <c r="A363">
        <v>2018</v>
      </c>
      <c r="B363" s="1">
        <v>43282</v>
      </c>
      <c r="C363" s="2" t="s">
        <v>49</v>
      </c>
      <c r="D363">
        <v>23</v>
      </c>
      <c r="E363">
        <v>21</v>
      </c>
      <c r="F363">
        <v>4886.72</v>
      </c>
      <c r="G363">
        <v>0.2403267273530908</v>
      </c>
      <c r="H363">
        <v>4.6956521739130439</v>
      </c>
      <c r="I363">
        <v>0</v>
      </c>
    </row>
    <row r="364" spans="1:9">
      <c r="A364">
        <v>2018</v>
      </c>
      <c r="B364" s="1">
        <v>43313</v>
      </c>
      <c r="C364" s="2" t="s">
        <v>49</v>
      </c>
      <c r="D364">
        <v>21</v>
      </c>
      <c r="E364">
        <v>20</v>
      </c>
      <c r="F364">
        <v>2756.02</v>
      </c>
      <c r="G364">
        <v>0.22493714168099255</v>
      </c>
      <c r="H364">
        <v>4.45</v>
      </c>
      <c r="I364">
        <v>0</v>
      </c>
    </row>
    <row r="365" spans="1:9">
      <c r="A365">
        <v>2017</v>
      </c>
      <c r="B365" s="1">
        <v>42767</v>
      </c>
      <c r="C365" s="2" t="s">
        <v>32</v>
      </c>
      <c r="D365">
        <v>1</v>
      </c>
      <c r="E365">
        <v>1</v>
      </c>
      <c r="F365">
        <v>134.94</v>
      </c>
      <c r="G365">
        <v>0.11812657477397362</v>
      </c>
      <c r="H365">
        <v>5</v>
      </c>
      <c r="I365">
        <v>0</v>
      </c>
    </row>
    <row r="366" spans="1:9">
      <c r="A366">
        <v>2017</v>
      </c>
      <c r="B366" s="1">
        <v>42795</v>
      </c>
      <c r="C366" s="2" t="s">
        <v>32</v>
      </c>
      <c r="D366">
        <v>2</v>
      </c>
      <c r="E366">
        <v>2</v>
      </c>
      <c r="F366">
        <v>282.02999999999997</v>
      </c>
      <c r="G366">
        <v>0.15606632288220829</v>
      </c>
      <c r="H366">
        <v>4</v>
      </c>
      <c r="I366">
        <v>0</v>
      </c>
    </row>
    <row r="367" spans="1:9">
      <c r="A367">
        <v>2017</v>
      </c>
      <c r="B367" s="1">
        <v>42856</v>
      </c>
      <c r="C367" s="2" t="s">
        <v>32</v>
      </c>
      <c r="D367">
        <v>2</v>
      </c>
      <c r="E367">
        <v>2</v>
      </c>
      <c r="F367">
        <v>552.22</v>
      </c>
      <c r="G367">
        <v>7.3253627120023548E-2</v>
      </c>
      <c r="H367">
        <v>3</v>
      </c>
      <c r="I367">
        <v>0</v>
      </c>
    </row>
    <row r="368" spans="1:9">
      <c r="A368">
        <v>2017</v>
      </c>
      <c r="B368" s="1">
        <v>42887</v>
      </c>
      <c r="C368" s="2" t="s">
        <v>32</v>
      </c>
      <c r="D368">
        <v>2</v>
      </c>
      <c r="E368">
        <v>2</v>
      </c>
      <c r="F368">
        <v>342.17</v>
      </c>
      <c r="G368">
        <v>0.18734343447946317</v>
      </c>
      <c r="H368">
        <v>4.5</v>
      </c>
      <c r="I368">
        <v>0</v>
      </c>
    </row>
    <row r="369" spans="1:9">
      <c r="A369">
        <v>2017</v>
      </c>
      <c r="B369" s="1">
        <v>42917</v>
      </c>
      <c r="C369" s="2" t="s">
        <v>32</v>
      </c>
      <c r="D369">
        <v>2</v>
      </c>
      <c r="E369">
        <v>2</v>
      </c>
      <c r="F369">
        <v>352.25</v>
      </c>
      <c r="G369">
        <v>0.2603897831527896</v>
      </c>
      <c r="H369">
        <v>5</v>
      </c>
      <c r="I369">
        <v>0</v>
      </c>
    </row>
    <row r="370" spans="1:9">
      <c r="A370">
        <v>2017</v>
      </c>
      <c r="B370" s="1">
        <v>42948</v>
      </c>
      <c r="C370" s="2" t="s">
        <v>32</v>
      </c>
      <c r="D370">
        <v>3</v>
      </c>
      <c r="E370">
        <v>3</v>
      </c>
      <c r="F370">
        <v>1043.95</v>
      </c>
      <c r="G370">
        <v>0.15488992786501557</v>
      </c>
      <c r="H370">
        <v>4</v>
      </c>
      <c r="I370">
        <v>0</v>
      </c>
    </row>
    <row r="371" spans="1:9">
      <c r="A371">
        <v>2017</v>
      </c>
      <c r="B371" s="1">
        <v>42979</v>
      </c>
      <c r="C371" s="2" t="s">
        <v>32</v>
      </c>
      <c r="D371">
        <v>2</v>
      </c>
      <c r="E371">
        <v>2</v>
      </c>
      <c r="F371">
        <v>251.71</v>
      </c>
      <c r="G371">
        <v>0.12605119764293538</v>
      </c>
      <c r="H371">
        <v>5</v>
      </c>
      <c r="I371">
        <v>0</v>
      </c>
    </row>
    <row r="372" spans="1:9">
      <c r="A372">
        <v>2017</v>
      </c>
      <c r="B372" s="1">
        <v>43009</v>
      </c>
      <c r="C372" s="2" t="s">
        <v>32</v>
      </c>
      <c r="D372">
        <v>5</v>
      </c>
      <c r="E372">
        <v>5</v>
      </c>
      <c r="F372">
        <v>2468.1799999999998</v>
      </c>
      <c r="G372">
        <v>0.20621114194710491</v>
      </c>
      <c r="H372">
        <v>4.8</v>
      </c>
      <c r="I372">
        <v>0</v>
      </c>
    </row>
    <row r="373" spans="1:9">
      <c r="A373">
        <v>2017</v>
      </c>
      <c r="B373" s="1">
        <v>43040</v>
      </c>
      <c r="C373" s="2" t="s">
        <v>32</v>
      </c>
      <c r="D373">
        <v>7</v>
      </c>
      <c r="E373">
        <v>7</v>
      </c>
      <c r="F373">
        <v>2350.58</v>
      </c>
      <c r="G373">
        <v>0.17511218394428354</v>
      </c>
      <c r="H373">
        <v>4</v>
      </c>
      <c r="I373">
        <v>0</v>
      </c>
    </row>
    <row r="374" spans="1:9">
      <c r="A374">
        <v>2017</v>
      </c>
      <c r="B374" s="1">
        <v>43070</v>
      </c>
      <c r="C374" s="2" t="s">
        <v>32</v>
      </c>
      <c r="D374">
        <v>9</v>
      </c>
      <c r="E374">
        <v>9</v>
      </c>
      <c r="F374">
        <v>2009.86</v>
      </c>
      <c r="G374">
        <v>0.1323431953551312</v>
      </c>
      <c r="H374">
        <v>3.7777777777777777</v>
      </c>
      <c r="I374">
        <v>0.1111111111111111</v>
      </c>
    </row>
    <row r="375" spans="1:9">
      <c r="A375">
        <v>2018</v>
      </c>
      <c r="B375" s="1">
        <v>43101</v>
      </c>
      <c r="C375" s="2" t="s">
        <v>32</v>
      </c>
      <c r="D375">
        <v>19</v>
      </c>
      <c r="E375">
        <v>16</v>
      </c>
      <c r="F375">
        <v>4467.45</v>
      </c>
      <c r="G375">
        <v>0.21039490121651092</v>
      </c>
      <c r="H375">
        <v>4</v>
      </c>
      <c r="I375">
        <v>0</v>
      </c>
    </row>
    <row r="376" spans="1:9">
      <c r="A376">
        <v>2018</v>
      </c>
      <c r="B376" s="1">
        <v>43132</v>
      </c>
      <c r="C376" s="2" t="s">
        <v>32</v>
      </c>
      <c r="D376">
        <v>37</v>
      </c>
      <c r="E376">
        <v>29</v>
      </c>
      <c r="F376">
        <v>5521.5</v>
      </c>
      <c r="G376">
        <v>0.19055193904922765</v>
      </c>
      <c r="H376">
        <v>4.0571428571428569</v>
      </c>
      <c r="I376">
        <v>0.17241379310344829</v>
      </c>
    </row>
    <row r="377" spans="1:9">
      <c r="A377">
        <v>2018</v>
      </c>
      <c r="B377" s="1">
        <v>43160</v>
      </c>
      <c r="C377" s="2" t="s">
        <v>32</v>
      </c>
      <c r="D377">
        <v>29</v>
      </c>
      <c r="E377">
        <v>26</v>
      </c>
      <c r="F377">
        <v>3607.83</v>
      </c>
      <c r="G377">
        <v>0.18796955350187858</v>
      </c>
      <c r="H377">
        <v>3.75</v>
      </c>
      <c r="I377">
        <v>0.19230769230769232</v>
      </c>
    </row>
    <row r="378" spans="1:9">
      <c r="A378">
        <v>2018</v>
      </c>
      <c r="B378" s="1">
        <v>43191</v>
      </c>
      <c r="C378" s="2" t="s">
        <v>32</v>
      </c>
      <c r="D378">
        <v>53</v>
      </c>
      <c r="E378">
        <v>48</v>
      </c>
      <c r="F378">
        <v>6882.22</v>
      </c>
      <c r="G378">
        <v>0.17905012950805968</v>
      </c>
      <c r="H378">
        <v>4.283018867924528</v>
      </c>
      <c r="I378">
        <v>6.25E-2</v>
      </c>
    </row>
    <row r="379" spans="1:9">
      <c r="A379">
        <v>2018</v>
      </c>
      <c r="B379" s="1">
        <v>43221</v>
      </c>
      <c r="C379" s="2" t="s">
        <v>32</v>
      </c>
      <c r="D379">
        <v>41</v>
      </c>
      <c r="E379">
        <v>35</v>
      </c>
      <c r="F379">
        <v>4981.97</v>
      </c>
      <c r="G379">
        <v>0.22096903751807237</v>
      </c>
      <c r="H379">
        <v>4.024390243902439</v>
      </c>
      <c r="I379">
        <v>5.7142857142857141E-2</v>
      </c>
    </row>
    <row r="380" spans="1:9">
      <c r="A380">
        <v>2018</v>
      </c>
      <c r="B380" s="1">
        <v>43252</v>
      </c>
      <c r="C380" s="2" t="s">
        <v>32</v>
      </c>
      <c r="D380">
        <v>26</v>
      </c>
      <c r="E380">
        <v>21</v>
      </c>
      <c r="F380">
        <v>3533.92</v>
      </c>
      <c r="G380">
        <v>0.28570653555707337</v>
      </c>
      <c r="H380">
        <v>4.3461538461538458</v>
      </c>
      <c r="I380">
        <v>0</v>
      </c>
    </row>
    <row r="381" spans="1:9">
      <c r="A381">
        <v>2018</v>
      </c>
      <c r="B381" s="1">
        <v>43282</v>
      </c>
      <c r="C381" s="2" t="s">
        <v>32</v>
      </c>
      <c r="D381">
        <v>14</v>
      </c>
      <c r="E381">
        <v>13</v>
      </c>
      <c r="F381">
        <v>5593.9</v>
      </c>
      <c r="G381">
        <v>0.2931871076362309</v>
      </c>
      <c r="H381">
        <v>4</v>
      </c>
      <c r="I381">
        <v>0</v>
      </c>
    </row>
    <row r="382" spans="1:9">
      <c r="A382">
        <v>2018</v>
      </c>
      <c r="B382" s="1">
        <v>43313</v>
      </c>
      <c r="C382" s="2" t="s">
        <v>32</v>
      </c>
      <c r="D382">
        <v>10</v>
      </c>
      <c r="E382">
        <v>9</v>
      </c>
      <c r="F382">
        <v>2744.05</v>
      </c>
      <c r="G382">
        <v>0.23775279897014401</v>
      </c>
      <c r="H382">
        <v>3.9</v>
      </c>
      <c r="I382">
        <v>0.1111111111111111</v>
      </c>
    </row>
    <row r="383" spans="1:9">
      <c r="A383">
        <v>2017</v>
      </c>
      <c r="B383" s="1">
        <v>42736</v>
      </c>
      <c r="C383" s="2" t="s">
        <v>31</v>
      </c>
      <c r="D383">
        <v>28</v>
      </c>
      <c r="E383">
        <v>21</v>
      </c>
      <c r="F383">
        <v>3269.76</v>
      </c>
      <c r="G383">
        <v>0.19463833805136993</v>
      </c>
      <c r="H383">
        <v>4.0714285714285712</v>
      </c>
      <c r="I383">
        <v>4.7619047619047616E-2</v>
      </c>
    </row>
    <row r="384" spans="1:9">
      <c r="A384">
        <v>2017</v>
      </c>
      <c r="B384" s="1">
        <v>42767</v>
      </c>
      <c r="C384" s="2" t="s">
        <v>31</v>
      </c>
      <c r="D384">
        <v>81</v>
      </c>
      <c r="E384">
        <v>68</v>
      </c>
      <c r="F384">
        <v>14207.49</v>
      </c>
      <c r="G384">
        <v>0.27428551119509553</v>
      </c>
      <c r="H384">
        <v>3.759493670886076</v>
      </c>
      <c r="I384">
        <v>2.9411764705882353E-2</v>
      </c>
    </row>
    <row r="385" spans="1:9">
      <c r="A385">
        <v>2017</v>
      </c>
      <c r="B385" s="1">
        <v>42795</v>
      </c>
      <c r="C385" s="2" t="s">
        <v>31</v>
      </c>
      <c r="D385">
        <v>209</v>
      </c>
      <c r="E385">
        <v>178</v>
      </c>
      <c r="F385">
        <v>17391.52</v>
      </c>
      <c r="G385">
        <v>0.29289528630294376</v>
      </c>
      <c r="H385">
        <v>4.0970873786407767</v>
      </c>
      <c r="I385">
        <v>6.1797752808988762E-2</v>
      </c>
    </row>
    <row r="386" spans="1:9">
      <c r="A386">
        <v>2017</v>
      </c>
      <c r="B386" s="1">
        <v>42826</v>
      </c>
      <c r="C386" s="2" t="s">
        <v>31</v>
      </c>
      <c r="D386">
        <v>183</v>
      </c>
      <c r="E386">
        <v>144</v>
      </c>
      <c r="F386">
        <v>18356.259999999998</v>
      </c>
      <c r="G386">
        <v>0.2680039459538659</v>
      </c>
      <c r="H386">
        <v>3.9065934065934065</v>
      </c>
      <c r="I386">
        <v>6.25E-2</v>
      </c>
    </row>
    <row r="387" spans="1:9">
      <c r="A387">
        <v>2017</v>
      </c>
      <c r="B387" s="1">
        <v>42856</v>
      </c>
      <c r="C387" s="2" t="s">
        <v>31</v>
      </c>
      <c r="D387">
        <v>307</v>
      </c>
      <c r="E387">
        <v>264</v>
      </c>
      <c r="F387">
        <v>27045.599999999999</v>
      </c>
      <c r="G387">
        <v>0.2517036854218217</v>
      </c>
      <c r="H387">
        <v>4.1980198019801982</v>
      </c>
      <c r="I387">
        <v>7.575757575757576E-3</v>
      </c>
    </row>
    <row r="388" spans="1:9">
      <c r="A388">
        <v>2017</v>
      </c>
      <c r="B388" s="1">
        <v>42887</v>
      </c>
      <c r="C388" s="2" t="s">
        <v>31</v>
      </c>
      <c r="D388">
        <v>331</v>
      </c>
      <c r="E388">
        <v>289</v>
      </c>
      <c r="F388">
        <v>29857.93</v>
      </c>
      <c r="G388">
        <v>0.24134916829646205</v>
      </c>
      <c r="H388">
        <v>4.1428571428571432</v>
      </c>
      <c r="I388">
        <v>2.768166089965398E-2</v>
      </c>
    </row>
    <row r="389" spans="1:9">
      <c r="A389">
        <v>2017</v>
      </c>
      <c r="B389" s="1">
        <v>42917</v>
      </c>
      <c r="C389" s="2" t="s">
        <v>31</v>
      </c>
      <c r="D389">
        <v>277</v>
      </c>
      <c r="E389">
        <v>225</v>
      </c>
      <c r="F389">
        <v>25664.18</v>
      </c>
      <c r="G389">
        <v>0.25162737616362374</v>
      </c>
      <c r="H389">
        <v>4.3054545454545456</v>
      </c>
      <c r="I389">
        <v>2.2222222222222223E-2</v>
      </c>
    </row>
    <row r="390" spans="1:9">
      <c r="A390">
        <v>2017</v>
      </c>
      <c r="B390" s="1">
        <v>42948</v>
      </c>
      <c r="C390" s="2" t="s">
        <v>31</v>
      </c>
      <c r="D390">
        <v>288</v>
      </c>
      <c r="E390">
        <v>249</v>
      </c>
      <c r="F390">
        <v>29046.78</v>
      </c>
      <c r="G390">
        <v>0.24907828938713547</v>
      </c>
      <c r="H390">
        <v>4.1087719298245613</v>
      </c>
      <c r="I390">
        <v>2.0080321285140562E-2</v>
      </c>
    </row>
    <row r="391" spans="1:9">
      <c r="A391">
        <v>2017</v>
      </c>
      <c r="B391" s="1">
        <v>42979</v>
      </c>
      <c r="C391" s="2" t="s">
        <v>31</v>
      </c>
      <c r="D391">
        <v>255</v>
      </c>
      <c r="E391">
        <v>223</v>
      </c>
      <c r="F391">
        <v>25121.49</v>
      </c>
      <c r="G391">
        <v>0.26984316026793165</v>
      </c>
      <c r="H391">
        <v>4.1739130434782608</v>
      </c>
      <c r="I391">
        <v>2.2421524663677129E-2</v>
      </c>
    </row>
    <row r="392" spans="1:9">
      <c r="A392">
        <v>2017</v>
      </c>
      <c r="B392" s="1">
        <v>43009</v>
      </c>
      <c r="C392" s="2" t="s">
        <v>31</v>
      </c>
      <c r="D392">
        <v>235</v>
      </c>
      <c r="E392">
        <v>191</v>
      </c>
      <c r="F392">
        <v>20263.23</v>
      </c>
      <c r="G392">
        <v>0.281295247292071</v>
      </c>
      <c r="H392">
        <v>4.1508620689655169</v>
      </c>
      <c r="I392">
        <v>3.6649214659685861E-2</v>
      </c>
    </row>
    <row r="393" spans="1:9">
      <c r="A393">
        <v>2017</v>
      </c>
      <c r="B393" s="1">
        <v>43040</v>
      </c>
      <c r="C393" s="2" t="s">
        <v>31</v>
      </c>
      <c r="D393">
        <v>426</v>
      </c>
      <c r="E393">
        <v>353</v>
      </c>
      <c r="F393">
        <v>44718.79</v>
      </c>
      <c r="G393">
        <v>0.25812915963827032</v>
      </c>
      <c r="H393">
        <v>3.9164677804295942</v>
      </c>
      <c r="I393">
        <v>0.10198300283286119</v>
      </c>
    </row>
    <row r="394" spans="1:9">
      <c r="A394">
        <v>2017</v>
      </c>
      <c r="B394" s="1">
        <v>43070</v>
      </c>
      <c r="C394" s="2" t="s">
        <v>31</v>
      </c>
      <c r="D394">
        <v>295</v>
      </c>
      <c r="E394">
        <v>249</v>
      </c>
      <c r="F394">
        <v>31932.31</v>
      </c>
      <c r="G394">
        <v>0.23501575589119347</v>
      </c>
      <c r="H394">
        <v>3.8634812286689422</v>
      </c>
      <c r="I394">
        <v>6.0240963855421686E-2</v>
      </c>
    </row>
    <row r="395" spans="1:9">
      <c r="A395">
        <v>2018</v>
      </c>
      <c r="B395" s="1">
        <v>43101</v>
      </c>
      <c r="C395" s="2" t="s">
        <v>31</v>
      </c>
      <c r="D395">
        <v>359</v>
      </c>
      <c r="E395">
        <v>322</v>
      </c>
      <c r="F395">
        <v>45966.73</v>
      </c>
      <c r="G395">
        <v>0.22898901933733637</v>
      </c>
      <c r="H395">
        <v>4</v>
      </c>
      <c r="I395">
        <v>6.8322981366459631E-2</v>
      </c>
    </row>
    <row r="396" spans="1:9">
      <c r="A396">
        <v>2018</v>
      </c>
      <c r="B396" s="1">
        <v>43132</v>
      </c>
      <c r="C396" s="2" t="s">
        <v>31</v>
      </c>
      <c r="D396">
        <v>404</v>
      </c>
      <c r="E396">
        <v>342</v>
      </c>
      <c r="F396">
        <v>44422.58</v>
      </c>
      <c r="G396">
        <v>0.2541312582432706</v>
      </c>
      <c r="H396">
        <v>3.8718592964824121</v>
      </c>
      <c r="I396">
        <v>0.12865497076023391</v>
      </c>
    </row>
    <row r="397" spans="1:9">
      <c r="A397">
        <v>2018</v>
      </c>
      <c r="B397" s="1">
        <v>43160</v>
      </c>
      <c r="C397" s="2" t="s">
        <v>31</v>
      </c>
      <c r="D397">
        <v>408</v>
      </c>
      <c r="E397">
        <v>338</v>
      </c>
      <c r="F397">
        <v>46755.96</v>
      </c>
      <c r="G397">
        <v>0.25991927802132853</v>
      </c>
      <c r="H397">
        <v>3.7093596059113301</v>
      </c>
      <c r="I397">
        <v>0.16272189349112426</v>
      </c>
    </row>
    <row r="398" spans="1:9">
      <c r="A398">
        <v>2018</v>
      </c>
      <c r="B398" s="1">
        <v>43191</v>
      </c>
      <c r="C398" s="2" t="s">
        <v>31</v>
      </c>
      <c r="D398">
        <v>471</v>
      </c>
      <c r="E398">
        <v>420</v>
      </c>
      <c r="F398">
        <v>55763.94</v>
      </c>
      <c r="G398">
        <v>0.23348383949968948</v>
      </c>
      <c r="H398">
        <v>4.0767590618336884</v>
      </c>
      <c r="I398">
        <v>5.7142857142857141E-2</v>
      </c>
    </row>
    <row r="399" spans="1:9">
      <c r="A399">
        <v>2018</v>
      </c>
      <c r="B399" s="1">
        <v>43221</v>
      </c>
      <c r="C399" s="2" t="s">
        <v>31</v>
      </c>
      <c r="D399">
        <v>619</v>
      </c>
      <c r="E399">
        <v>493</v>
      </c>
      <c r="F399">
        <v>76453.58</v>
      </c>
      <c r="G399">
        <v>0.23214715522680499</v>
      </c>
      <c r="H399">
        <v>4.153344208809135</v>
      </c>
      <c r="I399">
        <v>6.6937119675456389E-2</v>
      </c>
    </row>
    <row r="400" spans="1:9">
      <c r="A400">
        <v>2018</v>
      </c>
      <c r="B400" s="1">
        <v>43252</v>
      </c>
      <c r="C400" s="2" t="s">
        <v>31</v>
      </c>
      <c r="D400">
        <v>586</v>
      </c>
      <c r="E400">
        <v>470</v>
      </c>
      <c r="F400">
        <v>70494.89</v>
      </c>
      <c r="G400">
        <v>0.26511357040902223</v>
      </c>
      <c r="H400">
        <v>3.9398625429553267</v>
      </c>
      <c r="I400">
        <v>2.3404255319148935E-2</v>
      </c>
    </row>
    <row r="401" spans="1:9">
      <c r="A401">
        <v>2018</v>
      </c>
      <c r="B401" s="1">
        <v>43282</v>
      </c>
      <c r="C401" s="2" t="s">
        <v>31</v>
      </c>
      <c r="D401">
        <v>578</v>
      </c>
      <c r="E401">
        <v>474</v>
      </c>
      <c r="F401">
        <v>78113.850000000006</v>
      </c>
      <c r="G401">
        <v>0.2493279150604443</v>
      </c>
      <c r="H401">
        <v>4.1433566433566433</v>
      </c>
      <c r="I401">
        <v>2.1097046413502109E-2</v>
      </c>
    </row>
    <row r="402" spans="1:9">
      <c r="A402">
        <v>2018</v>
      </c>
      <c r="B402" s="1">
        <v>43313</v>
      </c>
      <c r="C402" s="2" t="s">
        <v>31</v>
      </c>
      <c r="D402">
        <v>629</v>
      </c>
      <c r="E402">
        <v>562</v>
      </c>
      <c r="F402">
        <v>74238.89</v>
      </c>
      <c r="G402">
        <v>0.25469433546591497</v>
      </c>
      <c r="H402">
        <v>4.2841091492776888</v>
      </c>
      <c r="I402">
        <v>6.2277580071174378E-2</v>
      </c>
    </row>
    <row r="403" spans="1:9">
      <c r="A403">
        <v>2017</v>
      </c>
      <c r="B403" s="1">
        <v>42767</v>
      </c>
      <c r="C403" s="2" t="s">
        <v>62</v>
      </c>
      <c r="D403">
        <v>4</v>
      </c>
      <c r="E403">
        <v>3</v>
      </c>
      <c r="F403">
        <v>764.57</v>
      </c>
      <c r="G403">
        <v>9.1289879667712792E-2</v>
      </c>
      <c r="H403">
        <v>5</v>
      </c>
      <c r="I403">
        <v>0</v>
      </c>
    </row>
    <row r="404" spans="1:9">
      <c r="A404">
        <v>2017</v>
      </c>
      <c r="B404" s="1">
        <v>42795</v>
      </c>
      <c r="C404" s="2" t="s">
        <v>62</v>
      </c>
      <c r="D404">
        <v>10</v>
      </c>
      <c r="E404">
        <v>5</v>
      </c>
      <c r="F404">
        <v>718.69</v>
      </c>
      <c r="G404">
        <v>0.29490797238741701</v>
      </c>
      <c r="H404">
        <v>4.333333333333333</v>
      </c>
      <c r="I404">
        <v>0</v>
      </c>
    </row>
    <row r="405" spans="1:9">
      <c r="A405">
        <v>2017</v>
      </c>
      <c r="B405" s="1">
        <v>42826</v>
      </c>
      <c r="C405" s="2" t="s">
        <v>62</v>
      </c>
      <c r="D405">
        <v>5</v>
      </c>
      <c r="E405">
        <v>5</v>
      </c>
      <c r="F405">
        <v>1696.94</v>
      </c>
      <c r="G405">
        <v>8.609434614733584E-2</v>
      </c>
      <c r="H405">
        <v>4.2</v>
      </c>
      <c r="I405">
        <v>0</v>
      </c>
    </row>
    <row r="406" spans="1:9">
      <c r="A406">
        <v>2017</v>
      </c>
      <c r="B406" s="1">
        <v>42856</v>
      </c>
      <c r="C406" s="2" t="s">
        <v>62</v>
      </c>
      <c r="D406">
        <v>7</v>
      </c>
      <c r="E406">
        <v>5</v>
      </c>
      <c r="F406">
        <v>1731.6</v>
      </c>
      <c r="G406">
        <v>0.1519924326189851</v>
      </c>
      <c r="H406">
        <v>2.5714285714285716</v>
      </c>
      <c r="I406">
        <v>0</v>
      </c>
    </row>
    <row r="407" spans="1:9">
      <c r="A407">
        <v>2017</v>
      </c>
      <c r="B407" s="1">
        <v>42887</v>
      </c>
      <c r="C407" s="2" t="s">
        <v>62</v>
      </c>
      <c r="D407">
        <v>8</v>
      </c>
      <c r="E407">
        <v>4</v>
      </c>
      <c r="F407">
        <v>2141.1799999999998</v>
      </c>
      <c r="G407">
        <v>8.9216527811527238E-2</v>
      </c>
      <c r="H407">
        <v>4</v>
      </c>
      <c r="I407">
        <v>0</v>
      </c>
    </row>
    <row r="408" spans="1:9">
      <c r="A408">
        <v>2017</v>
      </c>
      <c r="B408" s="1">
        <v>42917</v>
      </c>
      <c r="C408" s="2" t="s">
        <v>62</v>
      </c>
      <c r="D408">
        <v>2</v>
      </c>
      <c r="E408">
        <v>1</v>
      </c>
      <c r="F408">
        <v>123.8</v>
      </c>
      <c r="G408">
        <v>0.24394184168012925</v>
      </c>
      <c r="H408">
        <v>5</v>
      </c>
      <c r="I408">
        <v>0</v>
      </c>
    </row>
    <row r="409" spans="1:9">
      <c r="A409">
        <v>2017</v>
      </c>
      <c r="B409" s="1">
        <v>42948</v>
      </c>
      <c r="C409" s="2" t="s">
        <v>62</v>
      </c>
      <c r="D409">
        <v>1</v>
      </c>
      <c r="E409">
        <v>1</v>
      </c>
      <c r="F409">
        <v>141.43</v>
      </c>
      <c r="G409">
        <v>0.11758467086191049</v>
      </c>
      <c r="H409">
        <v>5</v>
      </c>
      <c r="I409">
        <v>0</v>
      </c>
    </row>
    <row r="410" spans="1:9">
      <c r="A410">
        <v>2017</v>
      </c>
      <c r="B410" s="1">
        <v>42979</v>
      </c>
      <c r="C410" s="2" t="s">
        <v>62</v>
      </c>
      <c r="D410">
        <v>11</v>
      </c>
      <c r="E410">
        <v>9</v>
      </c>
      <c r="F410">
        <v>1759.36</v>
      </c>
      <c r="G410">
        <v>0.21713149369621385</v>
      </c>
      <c r="H410">
        <v>3.5454545454545454</v>
      </c>
      <c r="I410">
        <v>0</v>
      </c>
    </row>
    <row r="411" spans="1:9">
      <c r="A411">
        <v>2017</v>
      </c>
      <c r="B411" s="1">
        <v>43009</v>
      </c>
      <c r="C411" s="2" t="s">
        <v>62</v>
      </c>
      <c r="D411">
        <v>18</v>
      </c>
      <c r="E411">
        <v>15</v>
      </c>
      <c r="F411">
        <v>4752.21</v>
      </c>
      <c r="G411">
        <v>0.17580560015235625</v>
      </c>
      <c r="H411">
        <v>4</v>
      </c>
      <c r="I411">
        <v>6.6666666666666666E-2</v>
      </c>
    </row>
    <row r="412" spans="1:9">
      <c r="A412">
        <v>2017</v>
      </c>
      <c r="B412" s="1">
        <v>43040</v>
      </c>
      <c r="C412" s="2" t="s">
        <v>62</v>
      </c>
      <c r="D412">
        <v>38</v>
      </c>
      <c r="E412">
        <v>33</v>
      </c>
      <c r="F412">
        <v>5726.54</v>
      </c>
      <c r="G412">
        <v>0.1710530538898187</v>
      </c>
      <c r="H412">
        <v>3.7714285714285714</v>
      </c>
      <c r="I412">
        <v>6.0606060606060608E-2</v>
      </c>
    </row>
    <row r="413" spans="1:9">
      <c r="A413">
        <v>2017</v>
      </c>
      <c r="B413" s="1">
        <v>43070</v>
      </c>
      <c r="C413" s="2" t="s">
        <v>62</v>
      </c>
      <c r="D413">
        <v>39</v>
      </c>
      <c r="E413">
        <v>30</v>
      </c>
      <c r="F413">
        <v>8006.27</v>
      </c>
      <c r="G413">
        <v>0.19154207319357264</v>
      </c>
      <c r="H413">
        <v>3.8947368421052633</v>
      </c>
      <c r="I413">
        <v>6.6666666666666666E-2</v>
      </c>
    </row>
    <row r="414" spans="1:9">
      <c r="A414">
        <v>2018</v>
      </c>
      <c r="B414" s="1">
        <v>43101</v>
      </c>
      <c r="C414" s="2" t="s">
        <v>62</v>
      </c>
      <c r="D414">
        <v>42</v>
      </c>
      <c r="E414">
        <v>28</v>
      </c>
      <c r="F414">
        <v>6758.04</v>
      </c>
      <c r="G414">
        <v>0.20269526935652846</v>
      </c>
      <c r="H414">
        <v>3.5714285714285716</v>
      </c>
      <c r="I414">
        <v>0.25</v>
      </c>
    </row>
    <row r="415" spans="1:9">
      <c r="A415">
        <v>2018</v>
      </c>
      <c r="B415" s="1">
        <v>43132</v>
      </c>
      <c r="C415" s="2" t="s">
        <v>62</v>
      </c>
      <c r="D415">
        <v>39</v>
      </c>
      <c r="E415">
        <v>32</v>
      </c>
      <c r="F415">
        <v>6056.18</v>
      </c>
      <c r="G415">
        <v>0.18888436162831987</v>
      </c>
      <c r="H415">
        <v>3.8684210526315788</v>
      </c>
      <c r="I415">
        <v>0.125</v>
      </c>
    </row>
    <row r="416" spans="1:9">
      <c r="A416">
        <v>2018</v>
      </c>
      <c r="B416" s="1">
        <v>43160</v>
      </c>
      <c r="C416" s="2" t="s">
        <v>62</v>
      </c>
      <c r="D416">
        <v>44</v>
      </c>
      <c r="E416">
        <v>34</v>
      </c>
      <c r="F416">
        <v>6766.89</v>
      </c>
      <c r="G416">
        <v>0.23423735912233884</v>
      </c>
      <c r="H416">
        <v>3.6590909090909092</v>
      </c>
      <c r="I416">
        <v>0.23529411764705882</v>
      </c>
    </row>
    <row r="417" spans="1:9">
      <c r="A417">
        <v>2018</v>
      </c>
      <c r="B417" s="1">
        <v>43191</v>
      </c>
      <c r="C417" s="2" t="s">
        <v>62</v>
      </c>
      <c r="D417">
        <v>76</v>
      </c>
      <c r="E417">
        <v>59</v>
      </c>
      <c r="F417">
        <v>10772.74</v>
      </c>
      <c r="G417">
        <v>0.20247618986035437</v>
      </c>
      <c r="H417">
        <v>3.8157894736842106</v>
      </c>
      <c r="I417">
        <v>6.7796610169491525E-2</v>
      </c>
    </row>
    <row r="418" spans="1:9">
      <c r="A418">
        <v>2018</v>
      </c>
      <c r="B418" s="1">
        <v>43221</v>
      </c>
      <c r="C418" s="2" t="s">
        <v>62</v>
      </c>
      <c r="D418">
        <v>79</v>
      </c>
      <c r="E418">
        <v>63</v>
      </c>
      <c r="F418">
        <v>11456.03</v>
      </c>
      <c r="G418">
        <v>0.16887454295760504</v>
      </c>
      <c r="H418">
        <v>3.8717948717948718</v>
      </c>
      <c r="I418">
        <v>4.7619047619047616E-2</v>
      </c>
    </row>
    <row r="419" spans="1:9">
      <c r="A419">
        <v>2018</v>
      </c>
      <c r="B419" s="1">
        <v>43252</v>
      </c>
      <c r="C419" s="2" t="s">
        <v>62</v>
      </c>
      <c r="D419">
        <v>71</v>
      </c>
      <c r="E419">
        <v>60</v>
      </c>
      <c r="F419">
        <v>10936.73</v>
      </c>
      <c r="G419">
        <v>0.17865840188170864</v>
      </c>
      <c r="H419">
        <v>4.380281690140845</v>
      </c>
      <c r="I419">
        <v>0</v>
      </c>
    </row>
    <row r="420" spans="1:9">
      <c r="A420">
        <v>2018</v>
      </c>
      <c r="B420" s="1">
        <v>43282</v>
      </c>
      <c r="C420" s="2" t="s">
        <v>62</v>
      </c>
      <c r="D420">
        <v>62</v>
      </c>
      <c r="E420">
        <v>58</v>
      </c>
      <c r="F420">
        <v>8429.8799999999992</v>
      </c>
      <c r="G420">
        <v>0.18683313917953637</v>
      </c>
      <c r="H420">
        <v>4.306451612903226</v>
      </c>
      <c r="I420">
        <v>3.4482758620689655E-2</v>
      </c>
    </row>
    <row r="421" spans="1:9">
      <c r="A421">
        <v>2018</v>
      </c>
      <c r="B421" s="1">
        <v>43313</v>
      </c>
      <c r="C421" s="2" t="s">
        <v>62</v>
      </c>
      <c r="D421">
        <v>49</v>
      </c>
      <c r="E421">
        <v>45</v>
      </c>
      <c r="F421">
        <v>8312.99</v>
      </c>
      <c r="G421">
        <v>0.1979529655139978</v>
      </c>
      <c r="H421">
        <v>3.9387755102040818</v>
      </c>
      <c r="I421">
        <v>4.4444444444444446E-2</v>
      </c>
    </row>
    <row r="422" spans="1:9">
      <c r="A422">
        <v>2017</v>
      </c>
      <c r="B422" s="1">
        <v>42767</v>
      </c>
      <c r="C422" s="2" t="s">
        <v>61</v>
      </c>
      <c r="D422">
        <v>3</v>
      </c>
      <c r="E422">
        <v>3</v>
      </c>
      <c r="F422">
        <v>471.27</v>
      </c>
      <c r="G422">
        <v>0.13776474022754612</v>
      </c>
      <c r="H422">
        <v>3</v>
      </c>
      <c r="I422">
        <v>0</v>
      </c>
    </row>
    <row r="423" spans="1:9">
      <c r="A423">
        <v>2017</v>
      </c>
      <c r="B423" s="1">
        <v>42795</v>
      </c>
      <c r="C423" s="2" t="s">
        <v>61</v>
      </c>
      <c r="D423">
        <v>13</v>
      </c>
      <c r="E423">
        <v>12</v>
      </c>
      <c r="F423">
        <v>2380.79</v>
      </c>
      <c r="G423">
        <v>0.1723338941296404</v>
      </c>
      <c r="H423">
        <v>3.7692307692307692</v>
      </c>
      <c r="I423">
        <v>0.25</v>
      </c>
    </row>
    <row r="424" spans="1:9">
      <c r="A424">
        <v>2017</v>
      </c>
      <c r="B424" s="1">
        <v>42826</v>
      </c>
      <c r="C424" s="2" t="s">
        <v>61</v>
      </c>
      <c r="D424">
        <v>17</v>
      </c>
      <c r="E424">
        <v>16</v>
      </c>
      <c r="F424">
        <v>2712.95</v>
      </c>
      <c r="G424">
        <v>0.16389052103787877</v>
      </c>
      <c r="H424">
        <v>4.2941176470588234</v>
      </c>
      <c r="I424">
        <v>0</v>
      </c>
    </row>
    <row r="425" spans="1:9">
      <c r="A425">
        <v>2017</v>
      </c>
      <c r="B425" s="1">
        <v>42856</v>
      </c>
      <c r="C425" s="2" t="s">
        <v>61</v>
      </c>
      <c r="D425">
        <v>37</v>
      </c>
      <c r="E425">
        <v>34</v>
      </c>
      <c r="F425">
        <v>5895.17</v>
      </c>
      <c r="G425">
        <v>0.15139524435452942</v>
      </c>
      <c r="H425">
        <v>3.4594594594594597</v>
      </c>
      <c r="I425">
        <v>8.8235294117647065E-2</v>
      </c>
    </row>
    <row r="426" spans="1:9">
      <c r="A426">
        <v>2017</v>
      </c>
      <c r="B426" s="1">
        <v>42887</v>
      </c>
      <c r="C426" s="2" t="s">
        <v>61</v>
      </c>
      <c r="D426">
        <v>18</v>
      </c>
      <c r="E426">
        <v>18</v>
      </c>
      <c r="F426">
        <v>3352.7</v>
      </c>
      <c r="G426">
        <v>0.12553172348682251</v>
      </c>
      <c r="H426">
        <v>3.7647058823529411</v>
      </c>
      <c r="I426">
        <v>0</v>
      </c>
    </row>
    <row r="427" spans="1:9">
      <c r="A427">
        <v>2017</v>
      </c>
      <c r="B427" s="1">
        <v>42917</v>
      </c>
      <c r="C427" s="2" t="s">
        <v>61</v>
      </c>
      <c r="D427">
        <v>44</v>
      </c>
      <c r="E427">
        <v>36</v>
      </c>
      <c r="F427">
        <v>5508.4</v>
      </c>
      <c r="G427">
        <v>0.19437457590610746</v>
      </c>
      <c r="H427">
        <v>3.8181818181818183</v>
      </c>
      <c r="I427">
        <v>0</v>
      </c>
    </row>
    <row r="428" spans="1:9">
      <c r="A428">
        <v>2017</v>
      </c>
      <c r="B428" s="1">
        <v>42948</v>
      </c>
      <c r="C428" s="2" t="s">
        <v>61</v>
      </c>
      <c r="D428">
        <v>28</v>
      </c>
      <c r="E428">
        <v>24</v>
      </c>
      <c r="F428">
        <v>4536.12</v>
      </c>
      <c r="G428">
        <v>0.18258149850125729</v>
      </c>
      <c r="H428">
        <v>4.3703703703703702</v>
      </c>
      <c r="I428">
        <v>0</v>
      </c>
    </row>
    <row r="429" spans="1:9">
      <c r="A429">
        <v>2017</v>
      </c>
      <c r="B429" s="1">
        <v>42979</v>
      </c>
      <c r="C429" s="2" t="s">
        <v>61</v>
      </c>
      <c r="D429">
        <v>33</v>
      </c>
      <c r="E429">
        <v>26</v>
      </c>
      <c r="F429">
        <v>5273.36</v>
      </c>
      <c r="G429">
        <v>0.14488009121879308</v>
      </c>
      <c r="H429">
        <v>4.3939393939393936</v>
      </c>
      <c r="I429">
        <v>0.11538461538461539</v>
      </c>
    </row>
    <row r="430" spans="1:9">
      <c r="A430">
        <v>2017</v>
      </c>
      <c r="B430" s="1">
        <v>43009</v>
      </c>
      <c r="C430" s="2" t="s">
        <v>61</v>
      </c>
      <c r="D430">
        <v>27</v>
      </c>
      <c r="E430">
        <v>26</v>
      </c>
      <c r="F430">
        <v>4072.65</v>
      </c>
      <c r="G430">
        <v>0.16639406260967685</v>
      </c>
      <c r="H430">
        <v>3.925925925925926</v>
      </c>
      <c r="I430">
        <v>3.8461538461538464E-2</v>
      </c>
    </row>
    <row r="431" spans="1:9">
      <c r="A431">
        <v>2017</v>
      </c>
      <c r="B431" s="1">
        <v>43040</v>
      </c>
      <c r="C431" s="2" t="s">
        <v>61</v>
      </c>
      <c r="D431">
        <v>45</v>
      </c>
      <c r="E431">
        <v>40</v>
      </c>
      <c r="F431">
        <v>6245.13</v>
      </c>
      <c r="G431">
        <v>0.16529189794104443</v>
      </c>
      <c r="H431">
        <v>3.2</v>
      </c>
      <c r="I431">
        <v>0.32500000000000001</v>
      </c>
    </row>
    <row r="432" spans="1:9">
      <c r="A432">
        <v>2017</v>
      </c>
      <c r="B432" s="1">
        <v>43070</v>
      </c>
      <c r="C432" s="2" t="s">
        <v>61</v>
      </c>
      <c r="D432">
        <v>14</v>
      </c>
      <c r="E432">
        <v>14</v>
      </c>
      <c r="F432">
        <v>2544.89</v>
      </c>
      <c r="G432">
        <v>0.13974140366597357</v>
      </c>
      <c r="H432">
        <v>3.7857142857142856</v>
      </c>
      <c r="I432">
        <v>7.1428571428571425E-2</v>
      </c>
    </row>
    <row r="433" spans="1:9">
      <c r="A433">
        <v>2018</v>
      </c>
      <c r="B433" s="1">
        <v>43101</v>
      </c>
      <c r="C433" s="2" t="s">
        <v>61</v>
      </c>
      <c r="D433">
        <v>18</v>
      </c>
      <c r="E433">
        <v>18</v>
      </c>
      <c r="F433">
        <v>3435.61</v>
      </c>
      <c r="G433">
        <v>0.14178639301411655</v>
      </c>
      <c r="H433">
        <v>4.1111111111111107</v>
      </c>
      <c r="I433">
        <v>0</v>
      </c>
    </row>
    <row r="434" spans="1:9">
      <c r="A434">
        <v>2018</v>
      </c>
      <c r="B434" s="1">
        <v>43132</v>
      </c>
      <c r="C434" s="2" t="s">
        <v>61</v>
      </c>
      <c r="D434">
        <v>21</v>
      </c>
      <c r="E434">
        <v>20</v>
      </c>
      <c r="F434">
        <v>3397.87</v>
      </c>
      <c r="G434">
        <v>0.1244015159403408</v>
      </c>
      <c r="H434">
        <v>3.8571428571428572</v>
      </c>
      <c r="I434">
        <v>0.1</v>
      </c>
    </row>
    <row r="435" spans="1:9">
      <c r="A435">
        <v>2018</v>
      </c>
      <c r="B435" s="1">
        <v>43160</v>
      </c>
      <c r="C435" s="2" t="s">
        <v>61</v>
      </c>
      <c r="D435">
        <v>21</v>
      </c>
      <c r="E435">
        <v>21</v>
      </c>
      <c r="F435">
        <v>3060.62</v>
      </c>
      <c r="G435">
        <v>0.18544629113052508</v>
      </c>
      <c r="H435">
        <v>3.3333333333333335</v>
      </c>
      <c r="I435">
        <v>0.47619047619047616</v>
      </c>
    </row>
    <row r="436" spans="1:9">
      <c r="A436">
        <v>2018</v>
      </c>
      <c r="B436" s="1">
        <v>43191</v>
      </c>
      <c r="C436" s="2" t="s">
        <v>61</v>
      </c>
      <c r="D436">
        <v>18</v>
      </c>
      <c r="E436">
        <v>15</v>
      </c>
      <c r="F436">
        <v>2274.2600000000002</v>
      </c>
      <c r="G436">
        <v>0.17595140504839918</v>
      </c>
      <c r="H436">
        <v>3.6111111111111112</v>
      </c>
      <c r="I436">
        <v>6.6666666666666666E-2</v>
      </c>
    </row>
    <row r="437" spans="1:9">
      <c r="A437">
        <v>2018</v>
      </c>
      <c r="B437" s="1">
        <v>43221</v>
      </c>
      <c r="C437" s="2" t="s">
        <v>61</v>
      </c>
      <c r="D437">
        <v>22</v>
      </c>
      <c r="E437">
        <v>19</v>
      </c>
      <c r="F437">
        <v>3184.37</v>
      </c>
      <c r="G437">
        <v>0.12279387860241321</v>
      </c>
      <c r="H437">
        <v>3.3181818181818183</v>
      </c>
      <c r="I437">
        <v>5.2631578947368418E-2</v>
      </c>
    </row>
    <row r="438" spans="1:9">
      <c r="A438">
        <v>2018</v>
      </c>
      <c r="B438" s="1">
        <v>43252</v>
      </c>
      <c r="C438" s="2" t="s">
        <v>61</v>
      </c>
      <c r="D438">
        <v>16</v>
      </c>
      <c r="E438">
        <v>16</v>
      </c>
      <c r="F438">
        <v>2701.94</v>
      </c>
      <c r="G438">
        <v>0.12450270711330517</v>
      </c>
      <c r="H438">
        <v>4.3125</v>
      </c>
      <c r="I438">
        <v>0</v>
      </c>
    </row>
    <row r="439" spans="1:9">
      <c r="A439">
        <v>2018</v>
      </c>
      <c r="B439" s="1">
        <v>43282</v>
      </c>
      <c r="C439" s="2" t="s">
        <v>61</v>
      </c>
      <c r="D439">
        <v>24</v>
      </c>
      <c r="E439">
        <v>24</v>
      </c>
      <c r="F439">
        <v>3560.26</v>
      </c>
      <c r="G439">
        <v>0.18799735066039208</v>
      </c>
      <c r="H439">
        <v>4.2608695652173916</v>
      </c>
      <c r="I439">
        <v>4.1666666666666664E-2</v>
      </c>
    </row>
    <row r="440" spans="1:9">
      <c r="A440">
        <v>2018</v>
      </c>
      <c r="B440" s="1">
        <v>43313</v>
      </c>
      <c r="C440" s="2" t="s">
        <v>61</v>
      </c>
      <c r="D440">
        <v>16</v>
      </c>
      <c r="E440">
        <v>15</v>
      </c>
      <c r="F440">
        <v>2571.88</v>
      </c>
      <c r="G440">
        <v>0.15092350622083153</v>
      </c>
      <c r="H440">
        <v>4.375</v>
      </c>
      <c r="I440">
        <v>6.6666666666666666E-2</v>
      </c>
    </row>
    <row r="441" spans="1:9">
      <c r="A441">
        <v>2017</v>
      </c>
      <c r="B441" s="1">
        <v>42736</v>
      </c>
      <c r="C441" s="2" t="s">
        <v>48</v>
      </c>
      <c r="D441">
        <v>2</v>
      </c>
      <c r="E441">
        <v>2</v>
      </c>
      <c r="F441">
        <v>95.57</v>
      </c>
      <c r="G441">
        <v>0.31201865154226127</v>
      </c>
      <c r="H441">
        <v>4.5</v>
      </c>
      <c r="I441">
        <v>0</v>
      </c>
    </row>
    <row r="442" spans="1:9">
      <c r="A442">
        <v>2017</v>
      </c>
      <c r="B442" s="1">
        <v>42795</v>
      </c>
      <c r="C442" s="2" t="s">
        <v>48</v>
      </c>
      <c r="D442">
        <v>3</v>
      </c>
      <c r="E442">
        <v>3</v>
      </c>
      <c r="F442">
        <v>390.89</v>
      </c>
      <c r="G442">
        <v>0.22781514075529427</v>
      </c>
      <c r="H442">
        <v>4.666666666666667</v>
      </c>
      <c r="I442">
        <v>0</v>
      </c>
    </row>
    <row r="443" spans="1:9">
      <c r="A443">
        <v>2017</v>
      </c>
      <c r="B443" s="1">
        <v>42826</v>
      </c>
      <c r="C443" s="2" t="s">
        <v>48</v>
      </c>
      <c r="D443">
        <v>1</v>
      </c>
      <c r="E443">
        <v>1</v>
      </c>
      <c r="F443">
        <v>23.86</v>
      </c>
      <c r="G443">
        <v>0.45934618608549876</v>
      </c>
      <c r="H443">
        <v>5</v>
      </c>
      <c r="I443">
        <v>0</v>
      </c>
    </row>
    <row r="444" spans="1:9">
      <c r="A444">
        <v>2017</v>
      </c>
      <c r="B444" s="1">
        <v>42887</v>
      </c>
      <c r="C444" s="2" t="s">
        <v>48</v>
      </c>
      <c r="D444">
        <v>1</v>
      </c>
      <c r="E444">
        <v>1</v>
      </c>
      <c r="F444">
        <v>28</v>
      </c>
      <c r="G444">
        <v>0.53928571428571426</v>
      </c>
      <c r="H444">
        <v>5</v>
      </c>
      <c r="I444">
        <v>0</v>
      </c>
    </row>
    <row r="445" spans="1:9">
      <c r="A445">
        <v>2017</v>
      </c>
      <c r="B445" s="1">
        <v>42917</v>
      </c>
      <c r="C445" s="2" t="s">
        <v>48</v>
      </c>
      <c r="D445">
        <v>1</v>
      </c>
      <c r="E445">
        <v>1</v>
      </c>
      <c r="F445">
        <v>28</v>
      </c>
      <c r="G445">
        <v>0.53928571428571426</v>
      </c>
      <c r="H445">
        <v>4</v>
      </c>
      <c r="I445">
        <v>0</v>
      </c>
    </row>
    <row r="446" spans="1:9">
      <c r="A446">
        <v>2017</v>
      </c>
      <c r="B446" s="1">
        <v>42948</v>
      </c>
      <c r="C446" s="2" t="s">
        <v>48</v>
      </c>
      <c r="D446">
        <v>3</v>
      </c>
      <c r="E446">
        <v>2</v>
      </c>
      <c r="F446">
        <v>69.91</v>
      </c>
      <c r="G446">
        <v>0.44184421381873612</v>
      </c>
      <c r="H446">
        <v>5</v>
      </c>
      <c r="I446">
        <v>0</v>
      </c>
    </row>
    <row r="447" spans="1:9">
      <c r="A447">
        <v>2017</v>
      </c>
      <c r="B447" s="1">
        <v>42979</v>
      </c>
      <c r="C447" s="2" t="s">
        <v>48</v>
      </c>
      <c r="D447">
        <v>1</v>
      </c>
      <c r="E447">
        <v>1</v>
      </c>
      <c r="F447">
        <v>29.69</v>
      </c>
      <c r="G447">
        <v>0.56551027281913102</v>
      </c>
      <c r="H447">
        <v>3</v>
      </c>
      <c r="I447">
        <v>1</v>
      </c>
    </row>
    <row r="448" spans="1:9">
      <c r="A448">
        <v>2017</v>
      </c>
      <c r="B448" s="1">
        <v>43009</v>
      </c>
      <c r="C448" s="2" t="s">
        <v>48</v>
      </c>
      <c r="D448">
        <v>5</v>
      </c>
      <c r="E448">
        <v>3</v>
      </c>
      <c r="F448">
        <v>140</v>
      </c>
      <c r="G448">
        <v>0.53928571428571426</v>
      </c>
      <c r="H448">
        <v>5</v>
      </c>
      <c r="I448">
        <v>0</v>
      </c>
    </row>
    <row r="449" spans="1:9">
      <c r="A449">
        <v>2017</v>
      </c>
      <c r="B449" s="1">
        <v>43040</v>
      </c>
      <c r="C449" s="2" t="s">
        <v>48</v>
      </c>
      <c r="D449">
        <v>3</v>
      </c>
      <c r="E449">
        <v>3</v>
      </c>
      <c r="F449">
        <v>80.75</v>
      </c>
      <c r="G449">
        <v>0.51911976911976909</v>
      </c>
      <c r="H449">
        <v>3.6666666666666665</v>
      </c>
      <c r="I449">
        <v>0</v>
      </c>
    </row>
    <row r="450" spans="1:9">
      <c r="A450">
        <v>2018</v>
      </c>
      <c r="B450" s="1">
        <v>43132</v>
      </c>
      <c r="C450" s="2" t="s">
        <v>48</v>
      </c>
      <c r="D450">
        <v>3</v>
      </c>
      <c r="E450">
        <v>2</v>
      </c>
      <c r="F450">
        <v>84</v>
      </c>
      <c r="G450">
        <v>0.53928571428571426</v>
      </c>
      <c r="H450">
        <v>1.3333333333333333</v>
      </c>
      <c r="I450">
        <v>1.5</v>
      </c>
    </row>
    <row r="451" spans="1:9">
      <c r="A451">
        <v>2018</v>
      </c>
      <c r="B451" s="1">
        <v>43160</v>
      </c>
      <c r="C451" s="2" t="s">
        <v>48</v>
      </c>
      <c r="D451">
        <v>1</v>
      </c>
      <c r="E451">
        <v>1</v>
      </c>
      <c r="F451">
        <v>44.33</v>
      </c>
      <c r="G451">
        <v>0.21069253327317844</v>
      </c>
      <c r="H451">
        <v>5</v>
      </c>
      <c r="I451">
        <v>0</v>
      </c>
    </row>
    <row r="452" spans="1:9">
      <c r="A452">
        <v>2018</v>
      </c>
      <c r="B452" s="1">
        <v>43191</v>
      </c>
      <c r="C452" s="2" t="s">
        <v>48</v>
      </c>
      <c r="D452">
        <v>1</v>
      </c>
      <c r="E452">
        <v>1</v>
      </c>
      <c r="F452">
        <v>18.760000000000002</v>
      </c>
      <c r="G452">
        <v>0.31236673773987206</v>
      </c>
      <c r="H452">
        <v>1</v>
      </c>
      <c r="I452">
        <v>0</v>
      </c>
    </row>
    <row r="453" spans="1:9">
      <c r="A453">
        <v>2018</v>
      </c>
      <c r="B453" s="1">
        <v>43252</v>
      </c>
      <c r="C453" s="2" t="s">
        <v>48</v>
      </c>
      <c r="D453">
        <v>2</v>
      </c>
      <c r="E453">
        <v>1</v>
      </c>
      <c r="F453">
        <v>51.38</v>
      </c>
      <c r="G453">
        <v>0.49785908913974308</v>
      </c>
      <c r="H453">
        <v>1</v>
      </c>
      <c r="I453">
        <v>0</v>
      </c>
    </row>
    <row r="454" spans="1:9">
      <c r="A454">
        <v>2018</v>
      </c>
      <c r="B454" s="1">
        <v>43282</v>
      </c>
      <c r="C454" s="2" t="s">
        <v>48</v>
      </c>
      <c r="D454">
        <v>3</v>
      </c>
      <c r="E454">
        <v>2</v>
      </c>
      <c r="F454">
        <v>85.44</v>
      </c>
      <c r="G454">
        <v>0.54335574828353828</v>
      </c>
      <c r="H454">
        <v>3.3333333333333335</v>
      </c>
      <c r="I454">
        <v>0</v>
      </c>
    </row>
    <row r="455" spans="1:9">
      <c r="A455">
        <v>2017</v>
      </c>
      <c r="B455" s="1">
        <v>42736</v>
      </c>
      <c r="C455" s="2" t="s">
        <v>47</v>
      </c>
      <c r="D455">
        <v>8</v>
      </c>
      <c r="E455">
        <v>7</v>
      </c>
      <c r="F455">
        <v>2268.6</v>
      </c>
      <c r="G455">
        <v>0.13927847104473554</v>
      </c>
      <c r="H455">
        <v>4.7142857142857144</v>
      </c>
      <c r="I455">
        <v>0</v>
      </c>
    </row>
    <row r="456" spans="1:9">
      <c r="A456">
        <v>2017</v>
      </c>
      <c r="B456" s="1">
        <v>42767</v>
      </c>
      <c r="C456" s="2" t="s">
        <v>47</v>
      </c>
      <c r="D456">
        <v>1</v>
      </c>
      <c r="E456">
        <v>1</v>
      </c>
      <c r="F456">
        <v>30.11</v>
      </c>
      <c r="G456">
        <v>0.46894719362338094</v>
      </c>
      <c r="H456">
        <v>5</v>
      </c>
      <c r="I456">
        <v>0</v>
      </c>
    </row>
    <row r="457" spans="1:9">
      <c r="A457">
        <v>2017</v>
      </c>
      <c r="B457" s="1">
        <v>42795</v>
      </c>
      <c r="C457" s="2" t="s">
        <v>47</v>
      </c>
      <c r="D457">
        <v>2</v>
      </c>
      <c r="E457">
        <v>2</v>
      </c>
      <c r="F457">
        <v>568.42999999999995</v>
      </c>
      <c r="G457">
        <v>0.33197524417582991</v>
      </c>
      <c r="H457">
        <v>4</v>
      </c>
      <c r="I457">
        <v>0.5</v>
      </c>
    </row>
    <row r="458" spans="1:9">
      <c r="A458">
        <v>2017</v>
      </c>
      <c r="B458" s="1">
        <v>42826</v>
      </c>
      <c r="C458" s="2" t="s">
        <v>47</v>
      </c>
      <c r="D458">
        <v>2</v>
      </c>
      <c r="E458">
        <v>2</v>
      </c>
      <c r="F458">
        <v>946.97</v>
      </c>
      <c r="G458">
        <v>0.15536141456910282</v>
      </c>
      <c r="H458">
        <v>2.5</v>
      </c>
      <c r="I458">
        <v>0.5</v>
      </c>
    </row>
    <row r="459" spans="1:9">
      <c r="A459">
        <v>2017</v>
      </c>
      <c r="B459" s="1">
        <v>42856</v>
      </c>
      <c r="C459" s="2" t="s">
        <v>47</v>
      </c>
      <c r="D459">
        <v>9</v>
      </c>
      <c r="E459">
        <v>9</v>
      </c>
      <c r="F459">
        <v>3453.39</v>
      </c>
      <c r="G459">
        <v>0.16886532671204577</v>
      </c>
      <c r="H459">
        <v>4.4444444444444446</v>
      </c>
      <c r="I459">
        <v>0</v>
      </c>
    </row>
    <row r="460" spans="1:9">
      <c r="A460">
        <v>2017</v>
      </c>
      <c r="B460" s="1">
        <v>42887</v>
      </c>
      <c r="C460" s="2" t="s">
        <v>47</v>
      </c>
      <c r="D460">
        <v>6</v>
      </c>
      <c r="E460">
        <v>6</v>
      </c>
      <c r="F460">
        <v>1435.07</v>
      </c>
      <c r="G460">
        <v>0.15855028233346247</v>
      </c>
      <c r="H460">
        <v>3.5</v>
      </c>
      <c r="I460">
        <v>0</v>
      </c>
    </row>
    <row r="461" spans="1:9">
      <c r="A461">
        <v>2017</v>
      </c>
      <c r="B461" s="1">
        <v>42917</v>
      </c>
      <c r="C461" s="2" t="s">
        <v>47</v>
      </c>
      <c r="D461">
        <v>7</v>
      </c>
      <c r="E461">
        <v>7</v>
      </c>
      <c r="F461">
        <v>1306.8800000000001</v>
      </c>
      <c r="G461">
        <v>0.20160965391416807</v>
      </c>
      <c r="H461">
        <v>3.4285714285714284</v>
      </c>
      <c r="I461">
        <v>0</v>
      </c>
    </row>
    <row r="462" spans="1:9">
      <c r="A462">
        <v>2017</v>
      </c>
      <c r="B462" s="1">
        <v>42948</v>
      </c>
      <c r="C462" s="2" t="s">
        <v>47</v>
      </c>
      <c r="D462">
        <v>17</v>
      </c>
      <c r="E462">
        <v>17</v>
      </c>
      <c r="F462">
        <v>4798.4799999999996</v>
      </c>
      <c r="G462">
        <v>0.17102390402749296</v>
      </c>
      <c r="H462">
        <v>4.5714285714285712</v>
      </c>
      <c r="I462">
        <v>0</v>
      </c>
    </row>
    <row r="463" spans="1:9">
      <c r="A463">
        <v>2017</v>
      </c>
      <c r="B463" s="1">
        <v>42979</v>
      </c>
      <c r="C463" s="2" t="s">
        <v>47</v>
      </c>
      <c r="D463">
        <v>6</v>
      </c>
      <c r="E463">
        <v>6</v>
      </c>
      <c r="F463">
        <v>1928.62</v>
      </c>
      <c r="G463">
        <v>0.17248217346789535</v>
      </c>
      <c r="H463">
        <v>4.666666666666667</v>
      </c>
      <c r="I463">
        <v>0</v>
      </c>
    </row>
    <row r="464" spans="1:9">
      <c r="A464">
        <v>2017</v>
      </c>
      <c r="B464" s="1">
        <v>43009</v>
      </c>
      <c r="C464" s="2" t="s">
        <v>47</v>
      </c>
      <c r="D464">
        <v>10</v>
      </c>
      <c r="E464">
        <v>10</v>
      </c>
      <c r="F464">
        <v>3188.82</v>
      </c>
      <c r="G464">
        <v>0.15457984291944213</v>
      </c>
      <c r="H464">
        <v>3.1</v>
      </c>
      <c r="I464">
        <v>0.2</v>
      </c>
    </row>
    <row r="465" spans="1:9">
      <c r="A465">
        <v>2017</v>
      </c>
      <c r="B465" s="1">
        <v>43040</v>
      </c>
      <c r="C465" s="2" t="s">
        <v>47</v>
      </c>
      <c r="D465">
        <v>14</v>
      </c>
      <c r="E465">
        <v>13</v>
      </c>
      <c r="F465">
        <v>5571.8</v>
      </c>
      <c r="G465">
        <v>0.1165752783074368</v>
      </c>
      <c r="H465">
        <v>3.5714285714285716</v>
      </c>
      <c r="I465">
        <v>0.23076923076923078</v>
      </c>
    </row>
    <row r="466" spans="1:9">
      <c r="A466">
        <v>2017</v>
      </c>
      <c r="B466" s="1">
        <v>43070</v>
      </c>
      <c r="C466" s="2" t="s">
        <v>47</v>
      </c>
      <c r="D466">
        <v>8</v>
      </c>
      <c r="E466">
        <v>8</v>
      </c>
      <c r="F466">
        <v>2272.4499999999998</v>
      </c>
      <c r="G466">
        <v>0.13627245595516166</v>
      </c>
      <c r="H466">
        <v>4.125</v>
      </c>
      <c r="I466">
        <v>0.125</v>
      </c>
    </row>
    <row r="467" spans="1:9">
      <c r="A467">
        <v>2018</v>
      </c>
      <c r="B467" s="1">
        <v>43101</v>
      </c>
      <c r="C467" s="2" t="s">
        <v>47</v>
      </c>
      <c r="D467">
        <v>13</v>
      </c>
      <c r="E467">
        <v>12</v>
      </c>
      <c r="F467">
        <v>9109.57</v>
      </c>
      <c r="G467">
        <v>0.12847559543696471</v>
      </c>
      <c r="H467">
        <v>4.384615384615385</v>
      </c>
      <c r="I467">
        <v>0</v>
      </c>
    </row>
    <row r="468" spans="1:9">
      <c r="A468">
        <v>2018</v>
      </c>
      <c r="B468" s="1">
        <v>43132</v>
      </c>
      <c r="C468" s="2" t="s">
        <v>47</v>
      </c>
      <c r="D468">
        <v>21</v>
      </c>
      <c r="E468">
        <v>21</v>
      </c>
      <c r="F468">
        <v>9986.74</v>
      </c>
      <c r="G468">
        <v>0.16646617724424609</v>
      </c>
      <c r="H468">
        <v>3.9</v>
      </c>
      <c r="I468">
        <v>9.5238095238095233E-2</v>
      </c>
    </row>
    <row r="469" spans="1:9">
      <c r="A469">
        <v>2018</v>
      </c>
      <c r="B469" s="1">
        <v>43160</v>
      </c>
      <c r="C469" s="2" t="s">
        <v>47</v>
      </c>
      <c r="D469">
        <v>12</v>
      </c>
      <c r="E469">
        <v>12</v>
      </c>
      <c r="F469">
        <v>6085.99</v>
      </c>
      <c r="G469">
        <v>0.11692101500470642</v>
      </c>
      <c r="H469">
        <v>4.083333333333333</v>
      </c>
      <c r="I469">
        <v>8.3333333333333329E-2</v>
      </c>
    </row>
    <row r="470" spans="1:9">
      <c r="A470">
        <v>2018</v>
      </c>
      <c r="B470" s="1">
        <v>43191</v>
      </c>
      <c r="C470" s="2" t="s">
        <v>47</v>
      </c>
      <c r="D470">
        <v>23</v>
      </c>
      <c r="E470">
        <v>23</v>
      </c>
      <c r="F470">
        <v>21959.040000000001</v>
      </c>
      <c r="G470">
        <v>8.4288003260816341E-2</v>
      </c>
      <c r="H470">
        <v>4.4782608695652177</v>
      </c>
      <c r="I470">
        <v>0</v>
      </c>
    </row>
    <row r="471" spans="1:9">
      <c r="A471">
        <v>2018</v>
      </c>
      <c r="B471" s="1">
        <v>43221</v>
      </c>
      <c r="C471" s="2" t="s">
        <v>47</v>
      </c>
      <c r="D471">
        <v>23</v>
      </c>
      <c r="E471">
        <v>23</v>
      </c>
      <c r="F471">
        <v>15597.83</v>
      </c>
      <c r="G471">
        <v>0.12422227387443734</v>
      </c>
      <c r="H471">
        <v>4.2608695652173916</v>
      </c>
      <c r="I471">
        <v>4.3478260869565216E-2</v>
      </c>
    </row>
    <row r="472" spans="1:9">
      <c r="A472">
        <v>2018</v>
      </c>
      <c r="B472" s="1">
        <v>43252</v>
      </c>
      <c r="C472" s="2" t="s">
        <v>47</v>
      </c>
      <c r="D472">
        <v>19</v>
      </c>
      <c r="E472">
        <v>18</v>
      </c>
      <c r="F472">
        <v>9112.5400000000009</v>
      </c>
      <c r="G472">
        <v>0.21799813727565115</v>
      </c>
      <c r="H472">
        <v>4.7222222222222223</v>
      </c>
      <c r="I472">
        <v>0</v>
      </c>
    </row>
    <row r="473" spans="1:9">
      <c r="A473">
        <v>2018</v>
      </c>
      <c r="B473" s="1">
        <v>43282</v>
      </c>
      <c r="C473" s="2" t="s">
        <v>47</v>
      </c>
      <c r="D473">
        <v>23</v>
      </c>
      <c r="E473">
        <v>22</v>
      </c>
      <c r="F473">
        <v>13772.17</v>
      </c>
      <c r="G473">
        <v>0.16851116914585992</v>
      </c>
      <c r="H473">
        <v>4.1304347826086953</v>
      </c>
      <c r="I473">
        <v>4.5454545454545456E-2</v>
      </c>
    </row>
    <row r="474" spans="1:9">
      <c r="A474">
        <v>2018</v>
      </c>
      <c r="B474" s="1">
        <v>43313</v>
      </c>
      <c r="C474" s="2" t="s">
        <v>47</v>
      </c>
      <c r="D474">
        <v>15</v>
      </c>
      <c r="E474">
        <v>15</v>
      </c>
      <c r="F474">
        <v>10667.72</v>
      </c>
      <c r="G474">
        <v>9.7104496294266332E-2</v>
      </c>
      <c r="H474">
        <v>3.7333333333333334</v>
      </c>
      <c r="I474">
        <v>6.6666666666666666E-2</v>
      </c>
    </row>
    <row r="475" spans="1:9">
      <c r="A475">
        <v>2017</v>
      </c>
      <c r="B475" s="1">
        <v>42767</v>
      </c>
      <c r="C475" s="2" t="s">
        <v>60</v>
      </c>
      <c r="D475">
        <v>7</v>
      </c>
      <c r="E475">
        <v>7</v>
      </c>
      <c r="F475">
        <v>855.4</v>
      </c>
      <c r="G475">
        <v>0.16689916428498464</v>
      </c>
      <c r="H475">
        <v>4.1428571428571432</v>
      </c>
      <c r="I475">
        <v>0</v>
      </c>
    </row>
    <row r="476" spans="1:9">
      <c r="A476">
        <v>2017</v>
      </c>
      <c r="B476" s="1">
        <v>42795</v>
      </c>
      <c r="C476" s="2" t="s">
        <v>60</v>
      </c>
      <c r="D476">
        <v>10</v>
      </c>
      <c r="E476">
        <v>9</v>
      </c>
      <c r="F476">
        <v>466.25</v>
      </c>
      <c r="G476">
        <v>0.32981319514921942</v>
      </c>
      <c r="H476">
        <v>4.333333333333333</v>
      </c>
      <c r="I476">
        <v>0</v>
      </c>
    </row>
    <row r="477" spans="1:9">
      <c r="A477">
        <v>2017</v>
      </c>
      <c r="B477" s="1">
        <v>42826</v>
      </c>
      <c r="C477" s="2" t="s">
        <v>60</v>
      </c>
      <c r="D477">
        <v>10</v>
      </c>
      <c r="E477">
        <v>9</v>
      </c>
      <c r="F477">
        <v>635.57000000000005</v>
      </c>
      <c r="G477">
        <v>0.2591433992459069</v>
      </c>
      <c r="H477">
        <v>4.4000000000000004</v>
      </c>
      <c r="I477">
        <v>0.1111111111111111</v>
      </c>
    </row>
    <row r="478" spans="1:9">
      <c r="A478">
        <v>2017</v>
      </c>
      <c r="B478" s="1">
        <v>42856</v>
      </c>
      <c r="C478" s="2" t="s">
        <v>60</v>
      </c>
      <c r="D478">
        <v>29</v>
      </c>
      <c r="E478">
        <v>28</v>
      </c>
      <c r="F478">
        <v>2413.14</v>
      </c>
      <c r="G478">
        <v>0.24676476670945341</v>
      </c>
      <c r="H478">
        <v>4.6923076923076925</v>
      </c>
      <c r="I478">
        <v>3.5714285714285712E-2</v>
      </c>
    </row>
    <row r="479" spans="1:9">
      <c r="A479">
        <v>2017</v>
      </c>
      <c r="B479" s="1">
        <v>42887</v>
      </c>
      <c r="C479" s="2" t="s">
        <v>60</v>
      </c>
      <c r="D479">
        <v>45</v>
      </c>
      <c r="E479">
        <v>42</v>
      </c>
      <c r="F479">
        <v>3215.98</v>
      </c>
      <c r="G479">
        <v>0.27425764769246264</v>
      </c>
      <c r="H479">
        <v>3.9761904761904763</v>
      </c>
      <c r="I479">
        <v>2.3809523809523808E-2</v>
      </c>
    </row>
    <row r="480" spans="1:9">
      <c r="A480">
        <v>2017</v>
      </c>
      <c r="B480" s="1">
        <v>42917</v>
      </c>
      <c r="C480" s="2" t="s">
        <v>60</v>
      </c>
      <c r="D480">
        <v>37</v>
      </c>
      <c r="E480">
        <v>37</v>
      </c>
      <c r="F480">
        <v>4336.18</v>
      </c>
      <c r="G480">
        <v>0.26077660157557275</v>
      </c>
      <c r="H480">
        <v>4.1621621621621623</v>
      </c>
      <c r="I480">
        <v>2.7027027027027029E-2</v>
      </c>
    </row>
    <row r="481" spans="1:9">
      <c r="A481">
        <v>2017</v>
      </c>
      <c r="B481" s="1">
        <v>42948</v>
      </c>
      <c r="C481" s="2" t="s">
        <v>60</v>
      </c>
      <c r="D481">
        <v>49</v>
      </c>
      <c r="E481">
        <v>49</v>
      </c>
      <c r="F481">
        <v>5548.78</v>
      </c>
      <c r="G481">
        <v>0.25446298214785201</v>
      </c>
      <c r="H481">
        <v>3.8723404255319149</v>
      </c>
      <c r="I481">
        <v>2.0408163265306121E-2</v>
      </c>
    </row>
    <row r="482" spans="1:9">
      <c r="A482">
        <v>2017</v>
      </c>
      <c r="B482" s="1">
        <v>42979</v>
      </c>
      <c r="C482" s="2" t="s">
        <v>60</v>
      </c>
      <c r="D482">
        <v>10</v>
      </c>
      <c r="E482">
        <v>10</v>
      </c>
      <c r="F482">
        <v>2197.2800000000002</v>
      </c>
      <c r="G482">
        <v>0.21612000505521836</v>
      </c>
      <c r="H482">
        <v>4.333333333333333</v>
      </c>
      <c r="I482">
        <v>0</v>
      </c>
    </row>
    <row r="483" spans="1:9">
      <c r="A483">
        <v>2017</v>
      </c>
      <c r="B483" s="1">
        <v>43009</v>
      </c>
      <c r="C483" s="2" t="s">
        <v>60</v>
      </c>
      <c r="D483">
        <v>8</v>
      </c>
      <c r="E483">
        <v>8</v>
      </c>
      <c r="F483">
        <v>2233.2800000000002</v>
      </c>
      <c r="G483">
        <v>0.20008900497769055</v>
      </c>
      <c r="H483">
        <v>4.375</v>
      </c>
      <c r="I483">
        <v>0</v>
      </c>
    </row>
    <row r="484" spans="1:9">
      <c r="A484">
        <v>2017</v>
      </c>
      <c r="B484" s="1">
        <v>43040</v>
      </c>
      <c r="C484" s="2" t="s">
        <v>60</v>
      </c>
      <c r="D484">
        <v>25</v>
      </c>
      <c r="E484">
        <v>25</v>
      </c>
      <c r="F484">
        <v>5069.9799999999996</v>
      </c>
      <c r="G484">
        <v>0.20994358041321023</v>
      </c>
      <c r="H484">
        <v>3.8</v>
      </c>
      <c r="I484">
        <v>0.12</v>
      </c>
    </row>
    <row r="485" spans="1:9">
      <c r="A485">
        <v>2017</v>
      </c>
      <c r="B485" s="1">
        <v>43070</v>
      </c>
      <c r="C485" s="2" t="s">
        <v>60</v>
      </c>
      <c r="D485">
        <v>16</v>
      </c>
      <c r="E485">
        <v>16</v>
      </c>
      <c r="F485">
        <v>1672.84</v>
      </c>
      <c r="G485">
        <v>0.25135128095052556</v>
      </c>
      <c r="H485">
        <v>4.1875</v>
      </c>
      <c r="I485">
        <v>6.25E-2</v>
      </c>
    </row>
    <row r="486" spans="1:9">
      <c r="A486">
        <v>2018</v>
      </c>
      <c r="B486" s="1">
        <v>43101</v>
      </c>
      <c r="C486" s="2" t="s">
        <v>60</v>
      </c>
      <c r="D486">
        <v>29</v>
      </c>
      <c r="E486">
        <v>27</v>
      </c>
      <c r="F486">
        <v>2282.5700000000002</v>
      </c>
      <c r="G486">
        <v>0.25371614349629945</v>
      </c>
      <c r="H486">
        <v>4.1785714285714288</v>
      </c>
      <c r="I486">
        <v>0</v>
      </c>
    </row>
    <row r="487" spans="1:9">
      <c r="A487">
        <v>2018</v>
      </c>
      <c r="B487" s="1">
        <v>43132</v>
      </c>
      <c r="C487" s="2" t="s">
        <v>60</v>
      </c>
      <c r="D487">
        <v>51</v>
      </c>
      <c r="E487">
        <v>48</v>
      </c>
      <c r="F487">
        <v>6497.43</v>
      </c>
      <c r="G487">
        <v>0.23651939548290934</v>
      </c>
      <c r="H487">
        <v>4.2553191489361701</v>
      </c>
      <c r="I487">
        <v>4.1666666666666664E-2</v>
      </c>
    </row>
    <row r="488" spans="1:9">
      <c r="A488">
        <v>2018</v>
      </c>
      <c r="B488" s="1">
        <v>43160</v>
      </c>
      <c r="C488" s="2" t="s">
        <v>60</v>
      </c>
      <c r="D488">
        <v>74</v>
      </c>
      <c r="E488">
        <v>70</v>
      </c>
      <c r="F488">
        <v>11611.43</v>
      </c>
      <c r="G488">
        <v>0.23792127756366097</v>
      </c>
      <c r="H488">
        <v>3.9714285714285715</v>
      </c>
      <c r="I488">
        <v>4.2857142857142858E-2</v>
      </c>
    </row>
    <row r="489" spans="1:9">
      <c r="A489">
        <v>2018</v>
      </c>
      <c r="B489" s="1">
        <v>43191</v>
      </c>
      <c r="C489" s="2" t="s">
        <v>60</v>
      </c>
      <c r="D489">
        <v>108</v>
      </c>
      <c r="E489">
        <v>106</v>
      </c>
      <c r="F489">
        <v>17464.59</v>
      </c>
      <c r="G489">
        <v>0.24502591108347455</v>
      </c>
      <c r="H489">
        <v>4.134615384615385</v>
      </c>
      <c r="I489">
        <v>5.6603773584905662E-2</v>
      </c>
    </row>
    <row r="490" spans="1:9">
      <c r="A490">
        <v>2018</v>
      </c>
      <c r="B490" s="1">
        <v>43221</v>
      </c>
      <c r="C490" s="2" t="s">
        <v>60</v>
      </c>
      <c r="D490">
        <v>66</v>
      </c>
      <c r="E490">
        <v>63</v>
      </c>
      <c r="F490">
        <v>7448.73</v>
      </c>
      <c r="G490">
        <v>0.27031884539909906</v>
      </c>
      <c r="H490">
        <v>4.09375</v>
      </c>
      <c r="I490">
        <v>9.5238095238095233E-2</v>
      </c>
    </row>
    <row r="491" spans="1:9">
      <c r="A491">
        <v>2018</v>
      </c>
      <c r="B491" s="1">
        <v>43252</v>
      </c>
      <c r="C491" s="2" t="s">
        <v>60</v>
      </c>
      <c r="D491">
        <v>68</v>
      </c>
      <c r="E491">
        <v>67</v>
      </c>
      <c r="F491">
        <v>8004.38</v>
      </c>
      <c r="G491">
        <v>0.27288372825064083</v>
      </c>
      <c r="H491">
        <v>4.370967741935484</v>
      </c>
      <c r="I491">
        <v>1.4925373134328358E-2</v>
      </c>
    </row>
    <row r="492" spans="1:9">
      <c r="A492">
        <v>2018</v>
      </c>
      <c r="B492" s="1">
        <v>43282</v>
      </c>
      <c r="C492" s="2" t="s">
        <v>60</v>
      </c>
      <c r="D492">
        <v>83</v>
      </c>
      <c r="E492">
        <v>79</v>
      </c>
      <c r="F492">
        <v>6796.18</v>
      </c>
      <c r="G492">
        <v>0.26423052192794305</v>
      </c>
      <c r="H492">
        <v>4.3698630136986303</v>
      </c>
      <c r="I492">
        <v>1.2658227848101266E-2</v>
      </c>
    </row>
    <row r="493" spans="1:9">
      <c r="A493">
        <v>2018</v>
      </c>
      <c r="B493" s="1">
        <v>43313</v>
      </c>
      <c r="C493" s="2" t="s">
        <v>60</v>
      </c>
      <c r="D493">
        <v>65</v>
      </c>
      <c r="E493">
        <v>64</v>
      </c>
      <c r="F493">
        <v>7933.85</v>
      </c>
      <c r="G493">
        <v>0.2671326406692634</v>
      </c>
      <c r="H493">
        <v>4.241935483870968</v>
      </c>
      <c r="I493">
        <v>9.375E-2</v>
      </c>
    </row>
    <row r="494" spans="1:9">
      <c r="A494">
        <v>2017</v>
      </c>
      <c r="B494" s="1">
        <v>42736</v>
      </c>
      <c r="C494" s="2" t="s">
        <v>10</v>
      </c>
      <c r="D494">
        <v>85</v>
      </c>
      <c r="E494">
        <v>82</v>
      </c>
      <c r="F494">
        <v>14039.74</v>
      </c>
      <c r="G494">
        <v>0.19382705775404424</v>
      </c>
      <c r="H494">
        <v>4.0481927710843371</v>
      </c>
      <c r="I494">
        <v>1.2195121951219513E-2</v>
      </c>
    </row>
    <row r="495" spans="1:9">
      <c r="A495">
        <v>2017</v>
      </c>
      <c r="B495" s="1">
        <v>42767</v>
      </c>
      <c r="C495" s="2" t="s">
        <v>10</v>
      </c>
      <c r="D495">
        <v>166</v>
      </c>
      <c r="E495">
        <v>155</v>
      </c>
      <c r="F495">
        <v>26130.080000000002</v>
      </c>
      <c r="G495">
        <v>0.22368874133193195</v>
      </c>
      <c r="H495">
        <v>4.0802469135802468</v>
      </c>
      <c r="I495">
        <v>1.935483870967742E-2</v>
      </c>
    </row>
    <row r="496" spans="1:9">
      <c r="A496">
        <v>2017</v>
      </c>
      <c r="B496" s="1">
        <v>42795</v>
      </c>
      <c r="C496" s="2" t="s">
        <v>10</v>
      </c>
      <c r="D496">
        <v>211</v>
      </c>
      <c r="E496">
        <v>193</v>
      </c>
      <c r="F496">
        <v>29852.87</v>
      </c>
      <c r="G496">
        <v>0.21290112574027237</v>
      </c>
      <c r="H496">
        <v>4.2761904761904761</v>
      </c>
      <c r="I496">
        <v>4.6632124352331605E-2</v>
      </c>
    </row>
    <row r="497" spans="1:9">
      <c r="A497">
        <v>2017</v>
      </c>
      <c r="B497" s="1">
        <v>42826</v>
      </c>
      <c r="C497" s="2" t="s">
        <v>10</v>
      </c>
      <c r="D497">
        <v>190</v>
      </c>
      <c r="E497">
        <v>176</v>
      </c>
      <c r="F497">
        <v>26438.78</v>
      </c>
      <c r="G497">
        <v>0.22461013351835887</v>
      </c>
      <c r="H497">
        <v>4.0106951871657754</v>
      </c>
      <c r="I497">
        <v>5.113636363636364E-2</v>
      </c>
    </row>
    <row r="498" spans="1:9">
      <c r="A498">
        <v>2017</v>
      </c>
      <c r="B498" s="1">
        <v>42856</v>
      </c>
      <c r="C498" s="2" t="s">
        <v>10</v>
      </c>
      <c r="D498">
        <v>291</v>
      </c>
      <c r="E498">
        <v>267</v>
      </c>
      <c r="F498">
        <v>52880.5</v>
      </c>
      <c r="G498">
        <v>0.21012440160084042</v>
      </c>
      <c r="H498">
        <v>4.1637630662020904</v>
      </c>
      <c r="I498">
        <v>3.3707865168539325E-2</v>
      </c>
    </row>
    <row r="499" spans="1:9">
      <c r="A499">
        <v>2017</v>
      </c>
      <c r="B499" s="1">
        <v>42887</v>
      </c>
      <c r="C499" s="2" t="s">
        <v>10</v>
      </c>
      <c r="D499">
        <v>261</v>
      </c>
      <c r="E499">
        <v>239</v>
      </c>
      <c r="F499">
        <v>37311.57</v>
      </c>
      <c r="G499">
        <v>0.2171230489615317</v>
      </c>
      <c r="H499">
        <v>4.2412451361867705</v>
      </c>
      <c r="I499">
        <v>4.6025104602510462E-2</v>
      </c>
    </row>
    <row r="500" spans="1:9">
      <c r="A500">
        <v>2017</v>
      </c>
      <c r="B500" s="1">
        <v>42917</v>
      </c>
      <c r="C500" s="2" t="s">
        <v>10</v>
      </c>
      <c r="D500">
        <v>318</v>
      </c>
      <c r="E500">
        <v>278</v>
      </c>
      <c r="F500">
        <v>40591.760000000002</v>
      </c>
      <c r="G500">
        <v>0.25648820365899416</v>
      </c>
      <c r="H500">
        <v>3.9070512820512819</v>
      </c>
      <c r="I500">
        <v>0.10431654676258993</v>
      </c>
    </row>
    <row r="501" spans="1:9">
      <c r="A501">
        <v>2017</v>
      </c>
      <c r="B501" s="1">
        <v>42948</v>
      </c>
      <c r="C501" s="2" t="s">
        <v>10</v>
      </c>
      <c r="D501">
        <v>363</v>
      </c>
      <c r="E501">
        <v>345</v>
      </c>
      <c r="F501">
        <v>56826.91</v>
      </c>
      <c r="G501">
        <v>0.19003791220506913</v>
      </c>
      <c r="H501">
        <v>4.267605633802817</v>
      </c>
      <c r="I501">
        <v>4.3478260869565216E-2</v>
      </c>
    </row>
    <row r="502" spans="1:9">
      <c r="A502">
        <v>2017</v>
      </c>
      <c r="B502" s="1">
        <v>42979</v>
      </c>
      <c r="C502" s="2" t="s">
        <v>10</v>
      </c>
      <c r="D502">
        <v>385</v>
      </c>
      <c r="E502">
        <v>360</v>
      </c>
      <c r="F502">
        <v>59450.43</v>
      </c>
      <c r="G502">
        <v>0.19176765095023152</v>
      </c>
      <c r="H502">
        <v>4.2213333333333329</v>
      </c>
      <c r="I502">
        <v>7.4999999999999997E-2</v>
      </c>
    </row>
    <row r="503" spans="1:9">
      <c r="A503">
        <v>2017</v>
      </c>
      <c r="B503" s="1">
        <v>43009</v>
      </c>
      <c r="C503" s="2" t="s">
        <v>10</v>
      </c>
      <c r="D503">
        <v>365</v>
      </c>
      <c r="E503">
        <v>332</v>
      </c>
      <c r="F503">
        <v>49302.22</v>
      </c>
      <c r="G503">
        <v>0.21138717434961132</v>
      </c>
      <c r="H503">
        <v>4.197183098591549</v>
      </c>
      <c r="I503">
        <v>3.614457831325301E-2</v>
      </c>
    </row>
    <row r="504" spans="1:9">
      <c r="A504">
        <v>2017</v>
      </c>
      <c r="B504" s="1">
        <v>43040</v>
      </c>
      <c r="C504" s="2" t="s">
        <v>10</v>
      </c>
      <c r="D504">
        <v>585</v>
      </c>
      <c r="E504">
        <v>530</v>
      </c>
      <c r="F504">
        <v>89709.74</v>
      </c>
      <c r="G504">
        <v>0.19011076982997574</v>
      </c>
      <c r="H504">
        <v>4.0692041522491351</v>
      </c>
      <c r="I504">
        <v>0.10943396226415095</v>
      </c>
    </row>
    <row r="505" spans="1:9">
      <c r="A505">
        <v>2017</v>
      </c>
      <c r="B505" s="1">
        <v>43070</v>
      </c>
      <c r="C505" s="2" t="s">
        <v>10</v>
      </c>
      <c r="D505">
        <v>468</v>
      </c>
      <c r="E505">
        <v>432</v>
      </c>
      <c r="F505">
        <v>69786.81</v>
      </c>
      <c r="G505">
        <v>0.19320865604021806</v>
      </c>
      <c r="H505">
        <v>4.1101511879049673</v>
      </c>
      <c r="I505">
        <v>5.5555555555555552E-2</v>
      </c>
    </row>
    <row r="506" spans="1:9">
      <c r="A506">
        <v>2018</v>
      </c>
      <c r="B506" s="1">
        <v>43101</v>
      </c>
      <c r="C506" s="2" t="s">
        <v>10</v>
      </c>
      <c r="D506">
        <v>633</v>
      </c>
      <c r="E506">
        <v>572</v>
      </c>
      <c r="F506">
        <v>83581.070000000007</v>
      </c>
      <c r="G506">
        <v>0.19782885228978225</v>
      </c>
      <c r="H506">
        <v>4.0753205128205128</v>
      </c>
      <c r="I506">
        <v>7.5174825174825169E-2</v>
      </c>
    </row>
    <row r="507" spans="1:9">
      <c r="A507">
        <v>2018</v>
      </c>
      <c r="B507" s="1">
        <v>43132</v>
      </c>
      <c r="C507" s="2" t="s">
        <v>10</v>
      </c>
      <c r="D507">
        <v>673</v>
      </c>
      <c r="E507">
        <v>607</v>
      </c>
      <c r="F507">
        <v>98825.04</v>
      </c>
      <c r="G507">
        <v>0.1825642082918674</v>
      </c>
      <c r="H507">
        <v>3.9893778452200301</v>
      </c>
      <c r="I507">
        <v>0.13344316309719934</v>
      </c>
    </row>
    <row r="508" spans="1:9">
      <c r="A508">
        <v>2018</v>
      </c>
      <c r="B508" s="1">
        <v>43160</v>
      </c>
      <c r="C508" s="2" t="s">
        <v>10</v>
      </c>
      <c r="D508">
        <v>674</v>
      </c>
      <c r="E508">
        <v>621</v>
      </c>
      <c r="F508">
        <v>103041.15</v>
      </c>
      <c r="G508">
        <v>0.2000005559751615</v>
      </c>
      <c r="H508">
        <v>3.6987951807228918</v>
      </c>
      <c r="I508">
        <v>0.23993558776167473</v>
      </c>
    </row>
    <row r="509" spans="1:9">
      <c r="A509">
        <v>2018</v>
      </c>
      <c r="B509" s="1">
        <v>43191</v>
      </c>
      <c r="C509" s="2" t="s">
        <v>10</v>
      </c>
      <c r="D509">
        <v>694</v>
      </c>
      <c r="E509">
        <v>626</v>
      </c>
      <c r="F509">
        <v>105197.96</v>
      </c>
      <c r="G509">
        <v>0.1948291019357227</v>
      </c>
      <c r="H509">
        <v>4.1409883720930232</v>
      </c>
      <c r="I509">
        <v>5.4313099041533544E-2</v>
      </c>
    </row>
    <row r="510" spans="1:9">
      <c r="A510">
        <v>2018</v>
      </c>
      <c r="B510" s="1">
        <v>43221</v>
      </c>
      <c r="C510" s="2" t="s">
        <v>10</v>
      </c>
      <c r="D510">
        <v>770</v>
      </c>
      <c r="E510">
        <v>686</v>
      </c>
      <c r="F510">
        <v>110477.15</v>
      </c>
      <c r="G510">
        <v>0.18582668418186057</v>
      </c>
      <c r="H510">
        <v>4.2379084967320262</v>
      </c>
      <c r="I510">
        <v>0.10787172011661808</v>
      </c>
    </row>
    <row r="511" spans="1:9">
      <c r="A511">
        <v>2018</v>
      </c>
      <c r="B511" s="1">
        <v>43252</v>
      </c>
      <c r="C511" s="2" t="s">
        <v>10</v>
      </c>
      <c r="D511">
        <v>885</v>
      </c>
      <c r="E511">
        <v>799</v>
      </c>
      <c r="F511">
        <v>125197.75</v>
      </c>
      <c r="G511">
        <v>0.20405573168294189</v>
      </c>
      <c r="H511">
        <v>4.3678815489749434</v>
      </c>
      <c r="I511">
        <v>1.2515644555694618E-2</v>
      </c>
    </row>
    <row r="512" spans="1:9">
      <c r="A512">
        <v>2018</v>
      </c>
      <c r="B512" s="1">
        <v>43282</v>
      </c>
      <c r="C512" s="2" t="s">
        <v>10</v>
      </c>
      <c r="D512">
        <v>784</v>
      </c>
      <c r="E512">
        <v>713</v>
      </c>
      <c r="F512">
        <v>122743.98</v>
      </c>
      <c r="G512">
        <v>0.19867130148886317</v>
      </c>
      <c r="H512">
        <v>4.2131782945736438</v>
      </c>
      <c r="I512">
        <v>8.5553997194950909E-2</v>
      </c>
    </row>
    <row r="513" spans="1:9">
      <c r="A513">
        <v>2018</v>
      </c>
      <c r="B513" s="1">
        <v>43313</v>
      </c>
      <c r="C513" s="2" t="s">
        <v>10</v>
      </c>
      <c r="D513">
        <v>849</v>
      </c>
      <c r="E513">
        <v>778</v>
      </c>
      <c r="F513">
        <v>137206.07</v>
      </c>
      <c r="G513">
        <v>0.19114819991019455</v>
      </c>
      <c r="H513">
        <v>4.358244365361803</v>
      </c>
      <c r="I513">
        <v>7.3264781491002573E-2</v>
      </c>
    </row>
    <row r="514" spans="1:9">
      <c r="A514">
        <v>2017</v>
      </c>
      <c r="B514" s="1">
        <v>42736</v>
      </c>
      <c r="C514" s="2" t="s">
        <v>30</v>
      </c>
      <c r="D514">
        <v>58</v>
      </c>
      <c r="E514">
        <v>40</v>
      </c>
      <c r="F514">
        <v>9225.17</v>
      </c>
      <c r="G514">
        <v>0.13652742462245099</v>
      </c>
      <c r="H514">
        <v>3.8448275862068968</v>
      </c>
      <c r="I514">
        <v>0</v>
      </c>
    </row>
    <row r="515" spans="1:9">
      <c r="A515">
        <v>2017</v>
      </c>
      <c r="B515" s="1">
        <v>42767</v>
      </c>
      <c r="C515" s="2" t="s">
        <v>30</v>
      </c>
      <c r="D515">
        <v>72</v>
      </c>
      <c r="E515">
        <v>63</v>
      </c>
      <c r="F515">
        <v>14745.3</v>
      </c>
      <c r="G515">
        <v>0.17471284109606858</v>
      </c>
      <c r="H515">
        <v>3.971830985915493</v>
      </c>
      <c r="I515">
        <v>1.5873015873015872E-2</v>
      </c>
    </row>
    <row r="516" spans="1:9">
      <c r="A516">
        <v>2017</v>
      </c>
      <c r="B516" s="1">
        <v>42795</v>
      </c>
      <c r="C516" s="2" t="s">
        <v>30</v>
      </c>
      <c r="D516">
        <v>150</v>
      </c>
      <c r="E516">
        <v>121</v>
      </c>
      <c r="F516">
        <v>27004.32</v>
      </c>
      <c r="G516">
        <v>0.23433304431535767</v>
      </c>
      <c r="H516">
        <v>3.9319727891156462</v>
      </c>
      <c r="I516">
        <v>1.6528925619834711E-2</v>
      </c>
    </row>
    <row r="517" spans="1:9">
      <c r="A517">
        <v>2017</v>
      </c>
      <c r="B517" s="1">
        <v>42826</v>
      </c>
      <c r="C517" s="2" t="s">
        <v>30</v>
      </c>
      <c r="D517">
        <v>119</v>
      </c>
      <c r="E517">
        <v>99</v>
      </c>
      <c r="F517">
        <v>23468.07</v>
      </c>
      <c r="G517">
        <v>0.19617284998278448</v>
      </c>
      <c r="H517">
        <v>3.8907563025210083</v>
      </c>
      <c r="I517">
        <v>5.0505050505050504E-2</v>
      </c>
    </row>
    <row r="518" spans="1:9">
      <c r="A518">
        <v>2017</v>
      </c>
      <c r="B518" s="1">
        <v>42856</v>
      </c>
      <c r="C518" s="2" t="s">
        <v>30</v>
      </c>
      <c r="D518">
        <v>141</v>
      </c>
      <c r="E518">
        <v>124</v>
      </c>
      <c r="F518">
        <v>24100</v>
      </c>
      <c r="G518">
        <v>0.20454127529728061</v>
      </c>
      <c r="H518">
        <v>4.2173913043478262</v>
      </c>
      <c r="I518">
        <v>4.0322580645161289E-2</v>
      </c>
    </row>
    <row r="519" spans="1:9">
      <c r="A519">
        <v>2017</v>
      </c>
      <c r="B519" s="1">
        <v>42887</v>
      </c>
      <c r="C519" s="2" t="s">
        <v>30</v>
      </c>
      <c r="D519">
        <v>116</v>
      </c>
      <c r="E519">
        <v>102</v>
      </c>
      <c r="F519">
        <v>19220.009999999998</v>
      </c>
      <c r="G519">
        <v>0.21342815146299943</v>
      </c>
      <c r="H519">
        <v>4.2844827586206895</v>
      </c>
      <c r="I519">
        <v>2.9411764705882353E-2</v>
      </c>
    </row>
    <row r="520" spans="1:9">
      <c r="A520">
        <v>2017</v>
      </c>
      <c r="B520" s="1">
        <v>42917</v>
      </c>
      <c r="C520" s="2" t="s">
        <v>30</v>
      </c>
      <c r="D520">
        <v>190</v>
      </c>
      <c r="E520">
        <v>159</v>
      </c>
      <c r="F520">
        <v>24251.57</v>
      </c>
      <c r="G520">
        <v>0.22095052421643185</v>
      </c>
      <c r="H520">
        <v>4.144385026737968</v>
      </c>
      <c r="I520">
        <v>1.8867924528301886E-2</v>
      </c>
    </row>
    <row r="521" spans="1:9">
      <c r="A521">
        <v>2017</v>
      </c>
      <c r="B521" s="1">
        <v>42948</v>
      </c>
      <c r="C521" s="2" t="s">
        <v>30</v>
      </c>
      <c r="D521">
        <v>240</v>
      </c>
      <c r="E521">
        <v>199</v>
      </c>
      <c r="F521">
        <v>29219.95</v>
      </c>
      <c r="G521">
        <v>0.23074221928625049</v>
      </c>
      <c r="H521">
        <v>4.3138075313807533</v>
      </c>
      <c r="I521">
        <v>1.507537688442211E-2</v>
      </c>
    </row>
    <row r="522" spans="1:9">
      <c r="A522">
        <v>2017</v>
      </c>
      <c r="B522" s="1">
        <v>42979</v>
      </c>
      <c r="C522" s="2" t="s">
        <v>30</v>
      </c>
      <c r="D522">
        <v>225</v>
      </c>
      <c r="E522">
        <v>179</v>
      </c>
      <c r="F522">
        <v>27359.83</v>
      </c>
      <c r="G522">
        <v>0.22155384549708151</v>
      </c>
      <c r="H522">
        <v>4.2612612612612617</v>
      </c>
      <c r="I522">
        <v>3.3519553072625698E-2</v>
      </c>
    </row>
    <row r="523" spans="1:9">
      <c r="A523">
        <v>2017</v>
      </c>
      <c r="B523" s="1">
        <v>43009</v>
      </c>
      <c r="C523" s="2" t="s">
        <v>30</v>
      </c>
      <c r="D523">
        <v>281</v>
      </c>
      <c r="E523">
        <v>214</v>
      </c>
      <c r="F523">
        <v>32526.880000000001</v>
      </c>
      <c r="G523">
        <v>0.23543785586636667</v>
      </c>
      <c r="H523">
        <v>4.1857142857142859</v>
      </c>
      <c r="I523">
        <v>6.0747663551401869E-2</v>
      </c>
    </row>
    <row r="524" spans="1:9">
      <c r="A524">
        <v>2017</v>
      </c>
      <c r="B524" s="1">
        <v>43040</v>
      </c>
      <c r="C524" s="2" t="s">
        <v>30</v>
      </c>
      <c r="D524">
        <v>550</v>
      </c>
      <c r="E524">
        <v>433</v>
      </c>
      <c r="F524">
        <v>58200.1</v>
      </c>
      <c r="G524">
        <v>0.2464683302543221</v>
      </c>
      <c r="H524">
        <v>3.8318098720292504</v>
      </c>
      <c r="I524">
        <v>0.14549653579676675</v>
      </c>
    </row>
    <row r="525" spans="1:9">
      <c r="A525">
        <v>2017</v>
      </c>
      <c r="B525" s="1">
        <v>43070</v>
      </c>
      <c r="C525" s="2" t="s">
        <v>30</v>
      </c>
      <c r="D525">
        <v>325</v>
      </c>
      <c r="E525">
        <v>245</v>
      </c>
      <c r="F525">
        <v>35142.699999999997</v>
      </c>
      <c r="G525">
        <v>0.2394422915009809</v>
      </c>
      <c r="H525">
        <v>3.8714733542319748</v>
      </c>
      <c r="I525">
        <v>0.11020408163265306</v>
      </c>
    </row>
    <row r="526" spans="1:9">
      <c r="A526">
        <v>2018</v>
      </c>
      <c r="B526" s="1">
        <v>43101</v>
      </c>
      <c r="C526" s="2" t="s">
        <v>30</v>
      </c>
      <c r="D526">
        <v>240</v>
      </c>
      <c r="E526">
        <v>205</v>
      </c>
      <c r="F526">
        <v>32819.83</v>
      </c>
      <c r="G526">
        <v>0.2447194269338073</v>
      </c>
      <c r="H526">
        <v>4.02510460251046</v>
      </c>
      <c r="I526">
        <v>5.8536585365853662E-2</v>
      </c>
    </row>
    <row r="527" spans="1:9">
      <c r="A527">
        <v>2018</v>
      </c>
      <c r="B527" s="1">
        <v>43132</v>
      </c>
      <c r="C527" s="2" t="s">
        <v>30</v>
      </c>
      <c r="D527">
        <v>296</v>
      </c>
      <c r="E527">
        <v>232</v>
      </c>
      <c r="F527">
        <v>33698.730000000003</v>
      </c>
      <c r="G527">
        <v>0.2416076217737233</v>
      </c>
      <c r="H527">
        <v>3.6440677966101696</v>
      </c>
      <c r="I527">
        <v>0.18534482758620691</v>
      </c>
    </row>
    <row r="528" spans="1:9">
      <c r="A528">
        <v>2018</v>
      </c>
      <c r="B528" s="1">
        <v>43160</v>
      </c>
      <c r="C528" s="2" t="s">
        <v>30</v>
      </c>
      <c r="D528">
        <v>263</v>
      </c>
      <c r="E528">
        <v>205</v>
      </c>
      <c r="F528">
        <v>34171.300000000003</v>
      </c>
      <c r="G528">
        <v>0.24738824635536227</v>
      </c>
      <c r="H528">
        <v>3.7945736434108528</v>
      </c>
      <c r="I528">
        <v>0.25365853658536586</v>
      </c>
    </row>
    <row r="529" spans="1:9">
      <c r="A529">
        <v>2018</v>
      </c>
      <c r="B529" s="1">
        <v>43191</v>
      </c>
      <c r="C529" s="2" t="s">
        <v>30</v>
      </c>
      <c r="D529">
        <v>288</v>
      </c>
      <c r="E529">
        <v>238</v>
      </c>
      <c r="F529">
        <v>40698.93</v>
      </c>
      <c r="G529">
        <v>0.1951880163929921</v>
      </c>
      <c r="H529">
        <v>4.1358885017421603</v>
      </c>
      <c r="I529">
        <v>5.8823529411764705E-2</v>
      </c>
    </row>
    <row r="530" spans="1:9">
      <c r="A530">
        <v>2018</v>
      </c>
      <c r="B530" s="1">
        <v>43221</v>
      </c>
      <c r="C530" s="2" t="s">
        <v>30</v>
      </c>
      <c r="D530">
        <v>292</v>
      </c>
      <c r="E530">
        <v>230</v>
      </c>
      <c r="F530">
        <v>43181.16</v>
      </c>
      <c r="G530">
        <v>0.20131390146434319</v>
      </c>
      <c r="H530">
        <v>4.2692307692307692</v>
      </c>
      <c r="I530">
        <v>6.9565217391304349E-2</v>
      </c>
    </row>
    <row r="531" spans="1:9">
      <c r="A531">
        <v>2018</v>
      </c>
      <c r="B531" s="1">
        <v>43252</v>
      </c>
      <c r="C531" s="2" t="s">
        <v>30</v>
      </c>
      <c r="D531">
        <v>185</v>
      </c>
      <c r="E531">
        <v>149</v>
      </c>
      <c r="F531">
        <v>23126.03</v>
      </c>
      <c r="G531">
        <v>0.25956749707264831</v>
      </c>
      <c r="H531">
        <v>4.2540540540540537</v>
      </c>
      <c r="I531">
        <v>6.7114093959731542E-3</v>
      </c>
    </row>
    <row r="532" spans="1:9">
      <c r="A532">
        <v>2018</v>
      </c>
      <c r="B532" s="1">
        <v>43282</v>
      </c>
      <c r="C532" s="2" t="s">
        <v>30</v>
      </c>
      <c r="D532">
        <v>179</v>
      </c>
      <c r="E532">
        <v>154</v>
      </c>
      <c r="F532">
        <v>31122.91</v>
      </c>
      <c r="G532">
        <v>0.2582750926163816</v>
      </c>
      <c r="H532">
        <v>4.2584269662921352</v>
      </c>
      <c r="I532">
        <v>5.1948051948051951E-2</v>
      </c>
    </row>
    <row r="533" spans="1:9">
      <c r="A533">
        <v>2018</v>
      </c>
      <c r="B533" s="1">
        <v>43313</v>
      </c>
      <c r="C533" s="2" t="s">
        <v>30</v>
      </c>
      <c r="D533">
        <v>138</v>
      </c>
      <c r="E533">
        <v>122</v>
      </c>
      <c r="F533">
        <v>20388.16</v>
      </c>
      <c r="G533">
        <v>0.27373943920046684</v>
      </c>
      <c r="H533">
        <v>4.218978102189781</v>
      </c>
      <c r="I533">
        <v>2.4590163934426229E-2</v>
      </c>
    </row>
    <row r="534" spans="1:9">
      <c r="A534">
        <v>2017</v>
      </c>
      <c r="B534" s="1">
        <v>42826</v>
      </c>
      <c r="C534" s="2" t="s">
        <v>71</v>
      </c>
      <c r="D534">
        <v>1</v>
      </c>
      <c r="E534">
        <v>1</v>
      </c>
      <c r="F534">
        <v>130.80000000000001</v>
      </c>
      <c r="G534">
        <v>0.1636085626911315</v>
      </c>
      <c r="H534">
        <v>4</v>
      </c>
      <c r="I534">
        <v>0</v>
      </c>
    </row>
    <row r="535" spans="1:9">
      <c r="A535">
        <v>2017</v>
      </c>
      <c r="B535" s="1">
        <v>42856</v>
      </c>
      <c r="C535" s="2" t="s">
        <v>71</v>
      </c>
      <c r="D535">
        <v>3</v>
      </c>
      <c r="E535">
        <v>3</v>
      </c>
      <c r="F535">
        <v>731.88</v>
      </c>
      <c r="G535">
        <v>0.19475403857104204</v>
      </c>
      <c r="H535">
        <v>3.6666666666666665</v>
      </c>
      <c r="I535">
        <v>0</v>
      </c>
    </row>
    <row r="536" spans="1:9">
      <c r="A536">
        <v>2017</v>
      </c>
      <c r="B536" s="1">
        <v>42917</v>
      </c>
      <c r="C536" s="2" t="s">
        <v>71</v>
      </c>
      <c r="D536">
        <v>1</v>
      </c>
      <c r="E536">
        <v>1</v>
      </c>
      <c r="F536">
        <v>178.53</v>
      </c>
      <c r="G536">
        <v>0.38721783453761272</v>
      </c>
      <c r="H536">
        <v>1</v>
      </c>
      <c r="I536">
        <v>0</v>
      </c>
    </row>
    <row r="537" spans="1:9">
      <c r="A537">
        <v>2017</v>
      </c>
      <c r="B537" s="1">
        <v>42948</v>
      </c>
      <c r="C537" s="2" t="s">
        <v>71</v>
      </c>
      <c r="D537">
        <v>2</v>
      </c>
      <c r="E537">
        <v>2</v>
      </c>
      <c r="F537">
        <v>633.66</v>
      </c>
      <c r="G537">
        <v>0.22334210774441104</v>
      </c>
      <c r="H537">
        <v>4.5</v>
      </c>
      <c r="I537">
        <v>0</v>
      </c>
    </row>
    <row r="538" spans="1:9">
      <c r="A538">
        <v>2017</v>
      </c>
      <c r="B538" s="1">
        <v>42979</v>
      </c>
      <c r="C538" s="2" t="s">
        <v>71</v>
      </c>
      <c r="D538">
        <v>1</v>
      </c>
      <c r="E538">
        <v>1</v>
      </c>
      <c r="F538">
        <v>133.82</v>
      </c>
      <c r="G538">
        <v>0.35360932596024508</v>
      </c>
      <c r="H538">
        <v>5</v>
      </c>
      <c r="I538">
        <v>0</v>
      </c>
    </row>
    <row r="539" spans="1:9">
      <c r="A539">
        <v>2017</v>
      </c>
      <c r="B539" s="1">
        <v>43040</v>
      </c>
      <c r="C539" s="2" t="s">
        <v>71</v>
      </c>
      <c r="D539">
        <v>2</v>
      </c>
      <c r="E539">
        <v>2</v>
      </c>
      <c r="F539">
        <v>412.81</v>
      </c>
      <c r="G539">
        <v>0.22683255631974697</v>
      </c>
      <c r="H539">
        <v>3</v>
      </c>
      <c r="I539">
        <v>0.5</v>
      </c>
    </row>
    <row r="540" spans="1:9">
      <c r="A540">
        <v>2017</v>
      </c>
      <c r="B540" s="1">
        <v>43070</v>
      </c>
      <c r="C540" s="2" t="s">
        <v>71</v>
      </c>
      <c r="D540">
        <v>8</v>
      </c>
      <c r="E540">
        <v>8</v>
      </c>
      <c r="F540">
        <v>1088.4000000000001</v>
      </c>
      <c r="G540">
        <v>0.29558349740992995</v>
      </c>
      <c r="H540">
        <v>4.5</v>
      </c>
      <c r="I540">
        <v>0</v>
      </c>
    </row>
    <row r="541" spans="1:9">
      <c r="A541">
        <v>2018</v>
      </c>
      <c r="B541" s="1">
        <v>43101</v>
      </c>
      <c r="C541" s="2" t="s">
        <v>71</v>
      </c>
      <c r="D541">
        <v>9</v>
      </c>
      <c r="E541">
        <v>9</v>
      </c>
      <c r="F541">
        <v>1270.4000000000001</v>
      </c>
      <c r="G541">
        <v>0.34716767160923179</v>
      </c>
      <c r="H541">
        <v>4.333333333333333</v>
      </c>
      <c r="I541">
        <v>0</v>
      </c>
    </row>
    <row r="542" spans="1:9">
      <c r="A542">
        <v>2018</v>
      </c>
      <c r="B542" s="1">
        <v>43132</v>
      </c>
      <c r="C542" s="2" t="s">
        <v>71</v>
      </c>
      <c r="D542">
        <v>6</v>
      </c>
      <c r="E542">
        <v>6</v>
      </c>
      <c r="F542">
        <v>691.48</v>
      </c>
      <c r="G542">
        <v>0.43946283629410504</v>
      </c>
      <c r="H542">
        <v>2.6666666666666665</v>
      </c>
      <c r="I542">
        <v>0.5</v>
      </c>
    </row>
    <row r="543" spans="1:9">
      <c r="A543">
        <v>2018</v>
      </c>
      <c r="B543" s="1">
        <v>43160</v>
      </c>
      <c r="C543" s="2" t="s">
        <v>71</v>
      </c>
      <c r="D543">
        <v>4</v>
      </c>
      <c r="E543">
        <v>4</v>
      </c>
      <c r="F543">
        <v>584.92999999999995</v>
      </c>
      <c r="G543">
        <v>0.24582038823147553</v>
      </c>
      <c r="H543">
        <v>3.3333333333333335</v>
      </c>
      <c r="I543">
        <v>0.25</v>
      </c>
    </row>
    <row r="544" spans="1:9">
      <c r="A544">
        <v>2018</v>
      </c>
      <c r="B544" s="1">
        <v>43282</v>
      </c>
      <c r="C544" s="2" t="s">
        <v>71</v>
      </c>
      <c r="D544">
        <v>1</v>
      </c>
      <c r="E544">
        <v>1</v>
      </c>
      <c r="F544">
        <v>141.83000000000001</v>
      </c>
      <c r="G544">
        <v>8.4114785306352677E-2</v>
      </c>
      <c r="H544">
        <v>3</v>
      </c>
      <c r="I544">
        <v>0</v>
      </c>
    </row>
    <row r="545" spans="1:9">
      <c r="A545">
        <v>2017</v>
      </c>
      <c r="B545" s="1">
        <v>42736</v>
      </c>
      <c r="C545" s="2" t="s">
        <v>46</v>
      </c>
      <c r="D545">
        <v>10</v>
      </c>
      <c r="E545">
        <v>8</v>
      </c>
      <c r="F545">
        <v>1519.22</v>
      </c>
      <c r="G545">
        <v>0.17950592927959397</v>
      </c>
      <c r="H545">
        <v>4.8</v>
      </c>
      <c r="I545">
        <v>0</v>
      </c>
    </row>
    <row r="546" spans="1:9">
      <c r="A546">
        <v>2017</v>
      </c>
      <c r="B546" s="1">
        <v>42767</v>
      </c>
      <c r="C546" s="2" t="s">
        <v>46</v>
      </c>
      <c r="D546">
        <v>24</v>
      </c>
      <c r="E546">
        <v>15</v>
      </c>
      <c r="F546">
        <v>4841.3999999999996</v>
      </c>
      <c r="G546">
        <v>0.22527106974391864</v>
      </c>
      <c r="H546">
        <v>3.7391304347826089</v>
      </c>
      <c r="I546">
        <v>6.6666666666666666E-2</v>
      </c>
    </row>
    <row r="547" spans="1:9">
      <c r="A547">
        <v>2017</v>
      </c>
      <c r="B547" s="1">
        <v>42795</v>
      </c>
      <c r="C547" s="2" t="s">
        <v>46</v>
      </c>
      <c r="D547">
        <v>24</v>
      </c>
      <c r="E547">
        <v>17</v>
      </c>
      <c r="F547">
        <v>4035.67</v>
      </c>
      <c r="G547">
        <v>0.19047601445821191</v>
      </c>
      <c r="H547">
        <v>4.1739130434782608</v>
      </c>
      <c r="I547">
        <v>5.8823529411764705E-2</v>
      </c>
    </row>
    <row r="548" spans="1:9">
      <c r="A548">
        <v>2017</v>
      </c>
      <c r="B548" s="1">
        <v>42826</v>
      </c>
      <c r="C548" s="2" t="s">
        <v>46</v>
      </c>
      <c r="D548">
        <v>12</v>
      </c>
      <c r="E548">
        <v>11</v>
      </c>
      <c r="F548">
        <v>2526.11</v>
      </c>
      <c r="G548">
        <v>0.20224769643718868</v>
      </c>
      <c r="H548">
        <v>3.75</v>
      </c>
      <c r="I548">
        <v>0.27272727272727271</v>
      </c>
    </row>
    <row r="549" spans="1:9">
      <c r="A549">
        <v>2017</v>
      </c>
      <c r="B549" s="1">
        <v>42856</v>
      </c>
      <c r="C549" s="2" t="s">
        <v>46</v>
      </c>
      <c r="D549">
        <v>34</v>
      </c>
      <c r="E549">
        <v>29</v>
      </c>
      <c r="F549">
        <v>6240.77</v>
      </c>
      <c r="G549">
        <v>0.2377901112771216</v>
      </c>
      <c r="H549">
        <v>3.6666666666666665</v>
      </c>
      <c r="I549">
        <v>0.17241379310344829</v>
      </c>
    </row>
    <row r="550" spans="1:9">
      <c r="A550">
        <v>2017</v>
      </c>
      <c r="B550" s="1">
        <v>42887</v>
      </c>
      <c r="C550" s="2" t="s">
        <v>46</v>
      </c>
      <c r="D550">
        <v>15</v>
      </c>
      <c r="E550">
        <v>12</v>
      </c>
      <c r="F550">
        <v>2242.91</v>
      </c>
      <c r="G550">
        <v>0.23601685095967834</v>
      </c>
      <c r="H550">
        <v>4.5</v>
      </c>
      <c r="I550">
        <v>0</v>
      </c>
    </row>
    <row r="551" spans="1:9">
      <c r="A551">
        <v>2017</v>
      </c>
      <c r="B551" s="1">
        <v>42917</v>
      </c>
      <c r="C551" s="2" t="s">
        <v>46</v>
      </c>
      <c r="D551">
        <v>31</v>
      </c>
      <c r="E551">
        <v>27</v>
      </c>
      <c r="F551">
        <v>5375.86</v>
      </c>
      <c r="G551">
        <v>0.20617975204311159</v>
      </c>
      <c r="H551">
        <v>4.096774193548387</v>
      </c>
      <c r="I551">
        <v>3.7037037037037035E-2</v>
      </c>
    </row>
    <row r="552" spans="1:9">
      <c r="A552">
        <v>2017</v>
      </c>
      <c r="B552" s="1">
        <v>42948</v>
      </c>
      <c r="C552" s="2" t="s">
        <v>46</v>
      </c>
      <c r="D552">
        <v>23</v>
      </c>
      <c r="E552">
        <v>21</v>
      </c>
      <c r="F552">
        <v>3158.06</v>
      </c>
      <c r="G552">
        <v>0.24074473241763783</v>
      </c>
      <c r="H552">
        <v>4.3181818181818183</v>
      </c>
      <c r="I552">
        <v>0</v>
      </c>
    </row>
    <row r="553" spans="1:9">
      <c r="A553">
        <v>2017</v>
      </c>
      <c r="B553" s="1">
        <v>42979</v>
      </c>
      <c r="C553" s="2" t="s">
        <v>46</v>
      </c>
      <c r="D553">
        <v>11</v>
      </c>
      <c r="E553">
        <v>11</v>
      </c>
      <c r="F553">
        <v>1562.83</v>
      </c>
      <c r="G553">
        <v>0.22731633673046328</v>
      </c>
      <c r="H553">
        <v>4.5454545454545459</v>
      </c>
      <c r="I553">
        <v>0</v>
      </c>
    </row>
    <row r="554" spans="1:9">
      <c r="A554">
        <v>2017</v>
      </c>
      <c r="B554" s="1">
        <v>43009</v>
      </c>
      <c r="C554" s="2" t="s">
        <v>46</v>
      </c>
      <c r="D554">
        <v>19</v>
      </c>
      <c r="E554">
        <v>13</v>
      </c>
      <c r="F554">
        <v>2008.98</v>
      </c>
      <c r="G554">
        <v>0.29082801559238891</v>
      </c>
      <c r="H554">
        <v>4.4210526315789478</v>
      </c>
      <c r="I554">
        <v>0.15384615384615385</v>
      </c>
    </row>
    <row r="555" spans="1:9">
      <c r="A555">
        <v>2017</v>
      </c>
      <c r="B555" s="1">
        <v>43040</v>
      </c>
      <c r="C555" s="2" t="s">
        <v>46</v>
      </c>
      <c r="D555">
        <v>39</v>
      </c>
      <c r="E555">
        <v>29</v>
      </c>
      <c r="F555">
        <v>7657.9</v>
      </c>
      <c r="G555">
        <v>0.21409776120844792</v>
      </c>
      <c r="H555">
        <v>3.3684210526315788</v>
      </c>
      <c r="I555">
        <v>0.10344827586206896</v>
      </c>
    </row>
    <row r="556" spans="1:9">
      <c r="A556">
        <v>2017</v>
      </c>
      <c r="B556" s="1">
        <v>43070</v>
      </c>
      <c r="C556" s="2" t="s">
        <v>46</v>
      </c>
      <c r="D556">
        <v>20</v>
      </c>
      <c r="E556">
        <v>16</v>
      </c>
      <c r="F556">
        <v>2940.88</v>
      </c>
      <c r="G556">
        <v>0.27616911878041583</v>
      </c>
      <c r="H556">
        <v>4.117647058823529</v>
      </c>
      <c r="I556">
        <v>6.25E-2</v>
      </c>
    </row>
    <row r="557" spans="1:9">
      <c r="A557">
        <v>2018</v>
      </c>
      <c r="B557" s="1">
        <v>43101</v>
      </c>
      <c r="C557" s="2" t="s">
        <v>46</v>
      </c>
      <c r="D557">
        <v>22</v>
      </c>
      <c r="E557">
        <v>22</v>
      </c>
      <c r="F557">
        <v>2861.95</v>
      </c>
      <c r="G557">
        <v>0.21325156150899943</v>
      </c>
      <c r="H557">
        <v>4.4090909090909092</v>
      </c>
      <c r="I557">
        <v>4.5454545454545456E-2</v>
      </c>
    </row>
    <row r="558" spans="1:9">
      <c r="A558">
        <v>2018</v>
      </c>
      <c r="B558" s="1">
        <v>43132</v>
      </c>
      <c r="C558" s="2" t="s">
        <v>46</v>
      </c>
      <c r="D558">
        <v>26</v>
      </c>
      <c r="E558">
        <v>19</v>
      </c>
      <c r="F558">
        <v>5962.08</v>
      </c>
      <c r="G558">
        <v>0.25584341208130645</v>
      </c>
      <c r="H558">
        <v>3</v>
      </c>
      <c r="I558">
        <v>0.21052631578947367</v>
      </c>
    </row>
    <row r="559" spans="1:9">
      <c r="A559">
        <v>2018</v>
      </c>
      <c r="B559" s="1">
        <v>43160</v>
      </c>
      <c r="C559" s="2" t="s">
        <v>46</v>
      </c>
      <c r="D559">
        <v>19</v>
      </c>
      <c r="E559">
        <v>19</v>
      </c>
      <c r="F559">
        <v>4279.8</v>
      </c>
      <c r="G559">
        <v>0.21361652647745585</v>
      </c>
      <c r="H559">
        <v>3.5263157894736841</v>
      </c>
      <c r="I559">
        <v>0.10526315789473684</v>
      </c>
    </row>
    <row r="560" spans="1:9">
      <c r="A560">
        <v>2018</v>
      </c>
      <c r="B560" s="1">
        <v>43191</v>
      </c>
      <c r="C560" s="2" t="s">
        <v>46</v>
      </c>
      <c r="D560">
        <v>34</v>
      </c>
      <c r="E560">
        <v>25</v>
      </c>
      <c r="F560">
        <v>6219.96</v>
      </c>
      <c r="G560">
        <v>0.22551905570127559</v>
      </c>
      <c r="H560">
        <v>2.8823529411764706</v>
      </c>
      <c r="I560">
        <v>0.08</v>
      </c>
    </row>
    <row r="561" spans="1:9">
      <c r="A561">
        <v>2018</v>
      </c>
      <c r="B561" s="1">
        <v>43221</v>
      </c>
      <c r="C561" s="2" t="s">
        <v>46</v>
      </c>
      <c r="D561">
        <v>16</v>
      </c>
      <c r="E561">
        <v>13</v>
      </c>
      <c r="F561">
        <v>3390.1</v>
      </c>
      <c r="G561">
        <v>0.216447071408509</v>
      </c>
      <c r="H561">
        <v>4</v>
      </c>
      <c r="I561">
        <v>0</v>
      </c>
    </row>
    <row r="562" spans="1:9">
      <c r="A562">
        <v>2018</v>
      </c>
      <c r="B562" s="1">
        <v>43252</v>
      </c>
      <c r="C562" s="2" t="s">
        <v>46</v>
      </c>
      <c r="D562">
        <v>29</v>
      </c>
      <c r="E562">
        <v>27</v>
      </c>
      <c r="F562">
        <v>4529.6499999999996</v>
      </c>
      <c r="G562">
        <v>0.23706212902867782</v>
      </c>
      <c r="H562">
        <v>4.4137931034482758</v>
      </c>
      <c r="I562">
        <v>0</v>
      </c>
    </row>
    <row r="563" spans="1:9">
      <c r="A563">
        <v>2018</v>
      </c>
      <c r="B563" s="1">
        <v>43282</v>
      </c>
      <c r="C563" s="2" t="s">
        <v>46</v>
      </c>
      <c r="D563">
        <v>55</v>
      </c>
      <c r="E563">
        <v>50</v>
      </c>
      <c r="F563">
        <v>8840.31</v>
      </c>
      <c r="G563">
        <v>0.26197856015737003</v>
      </c>
      <c r="H563">
        <v>4.1818181818181817</v>
      </c>
      <c r="I563">
        <v>0.08</v>
      </c>
    </row>
    <row r="564" spans="1:9">
      <c r="A564">
        <v>2018</v>
      </c>
      <c r="B564" s="1">
        <v>43313</v>
      </c>
      <c r="C564" s="2" t="s">
        <v>46</v>
      </c>
      <c r="D564">
        <v>40</v>
      </c>
      <c r="E564">
        <v>38</v>
      </c>
      <c r="F564">
        <v>6690.29</v>
      </c>
      <c r="G564">
        <v>0.23067402271098944</v>
      </c>
      <c r="H564">
        <v>3.7749999999999999</v>
      </c>
      <c r="I564">
        <v>0.13157894736842105</v>
      </c>
    </row>
    <row r="565" spans="1:9">
      <c r="A565">
        <v>2017</v>
      </c>
      <c r="B565" s="1">
        <v>42736</v>
      </c>
      <c r="C565" s="2" t="s">
        <v>9</v>
      </c>
      <c r="D565">
        <v>183</v>
      </c>
      <c r="E565">
        <v>137</v>
      </c>
      <c r="F565">
        <v>16547.87</v>
      </c>
      <c r="G565">
        <v>0.22843555915371477</v>
      </c>
      <c r="H565">
        <v>3.7931034482758621</v>
      </c>
      <c r="I565">
        <v>5.8394160583941604E-2</v>
      </c>
    </row>
    <row r="566" spans="1:9">
      <c r="A566">
        <v>2017</v>
      </c>
      <c r="B566" s="1">
        <v>42767</v>
      </c>
      <c r="C566" s="2" t="s">
        <v>9</v>
      </c>
      <c r="D566">
        <v>266</v>
      </c>
      <c r="E566">
        <v>221</v>
      </c>
      <c r="F566">
        <v>26262.32</v>
      </c>
      <c r="G566">
        <v>0.24370096636470306</v>
      </c>
      <c r="H566">
        <v>3.8333333333333335</v>
      </c>
      <c r="I566">
        <v>5.4298642533936653E-2</v>
      </c>
    </row>
    <row r="567" spans="1:9">
      <c r="A567">
        <v>2017</v>
      </c>
      <c r="B567" s="1">
        <v>42795</v>
      </c>
      <c r="C567" s="2" t="s">
        <v>9</v>
      </c>
      <c r="D567">
        <v>329</v>
      </c>
      <c r="E567">
        <v>265</v>
      </c>
      <c r="F567">
        <v>29669.86</v>
      </c>
      <c r="G567">
        <v>0.245191948111427</v>
      </c>
      <c r="H567">
        <v>3.9723076923076923</v>
      </c>
      <c r="I567">
        <v>7.5471698113207544E-2</v>
      </c>
    </row>
    <row r="568" spans="1:9">
      <c r="A568">
        <v>2017</v>
      </c>
      <c r="B568" s="1">
        <v>42826</v>
      </c>
      <c r="C568" s="2" t="s">
        <v>9</v>
      </c>
      <c r="D568">
        <v>203</v>
      </c>
      <c r="E568">
        <v>169</v>
      </c>
      <c r="F568">
        <v>26128.42</v>
      </c>
      <c r="G568">
        <v>0.22335803691048811</v>
      </c>
      <c r="H568">
        <v>3.9137055837563453</v>
      </c>
      <c r="I568">
        <v>7.6923076923076927E-2</v>
      </c>
    </row>
    <row r="569" spans="1:9">
      <c r="A569">
        <v>2017</v>
      </c>
      <c r="B569" s="1">
        <v>42856</v>
      </c>
      <c r="C569" s="2" t="s">
        <v>9</v>
      </c>
      <c r="D569">
        <v>281</v>
      </c>
      <c r="E569">
        <v>234</v>
      </c>
      <c r="F569">
        <v>30122.94</v>
      </c>
      <c r="G569">
        <v>0.24336392797122186</v>
      </c>
      <c r="H569">
        <v>3.8791208791208791</v>
      </c>
      <c r="I569">
        <v>5.9829059829059832E-2</v>
      </c>
    </row>
    <row r="570" spans="1:9">
      <c r="A570">
        <v>2017</v>
      </c>
      <c r="B570" s="1">
        <v>42887</v>
      </c>
      <c r="C570" s="2" t="s">
        <v>9</v>
      </c>
      <c r="D570">
        <v>233</v>
      </c>
      <c r="E570">
        <v>180</v>
      </c>
      <c r="F570">
        <v>22017.99</v>
      </c>
      <c r="G570">
        <v>0.26978315035998851</v>
      </c>
      <c r="H570">
        <v>4.2173913043478262</v>
      </c>
      <c r="I570">
        <v>3.3333333333333333E-2</v>
      </c>
    </row>
    <row r="571" spans="1:9">
      <c r="A571">
        <v>2017</v>
      </c>
      <c r="B571" s="1">
        <v>42917</v>
      </c>
      <c r="C571" s="2" t="s">
        <v>9</v>
      </c>
      <c r="D571">
        <v>320</v>
      </c>
      <c r="E571">
        <v>253</v>
      </c>
      <c r="F571">
        <v>30630.86</v>
      </c>
      <c r="G571">
        <v>0.23487416679199752</v>
      </c>
      <c r="H571">
        <v>4.0746753246753249</v>
      </c>
      <c r="I571">
        <v>3.1620553359683792E-2</v>
      </c>
    </row>
    <row r="572" spans="1:9">
      <c r="A572">
        <v>2017</v>
      </c>
      <c r="B572" s="1">
        <v>42948</v>
      </c>
      <c r="C572" s="2" t="s">
        <v>9</v>
      </c>
      <c r="D572">
        <v>443</v>
      </c>
      <c r="E572">
        <v>332</v>
      </c>
      <c r="F572">
        <v>44704.08</v>
      </c>
      <c r="G572">
        <v>0.23460611231683395</v>
      </c>
      <c r="H572">
        <v>4.1007025761124121</v>
      </c>
      <c r="I572">
        <v>7.2289156626506021E-2</v>
      </c>
    </row>
    <row r="573" spans="1:9">
      <c r="A573">
        <v>2017</v>
      </c>
      <c r="B573" s="1">
        <v>42979</v>
      </c>
      <c r="C573" s="2" t="s">
        <v>9</v>
      </c>
      <c r="D573">
        <v>348</v>
      </c>
      <c r="E573">
        <v>275</v>
      </c>
      <c r="F573">
        <v>38355.120000000003</v>
      </c>
      <c r="G573">
        <v>0.24040165039114861</v>
      </c>
      <c r="H573">
        <v>4.1483679525222552</v>
      </c>
      <c r="I573">
        <v>5.8181818181818182E-2</v>
      </c>
    </row>
    <row r="574" spans="1:9">
      <c r="A574">
        <v>2017</v>
      </c>
      <c r="B574" s="1">
        <v>43009</v>
      </c>
      <c r="C574" s="2" t="s">
        <v>9</v>
      </c>
      <c r="D574">
        <v>382</v>
      </c>
      <c r="E574">
        <v>270</v>
      </c>
      <c r="F574">
        <v>38152.03</v>
      </c>
      <c r="G574">
        <v>0.24890528630593056</v>
      </c>
      <c r="H574">
        <v>3.9236842105263157</v>
      </c>
      <c r="I574">
        <v>4.8148148148148148E-2</v>
      </c>
    </row>
    <row r="575" spans="1:9">
      <c r="A575">
        <v>2017</v>
      </c>
      <c r="B575" s="1">
        <v>43040</v>
      </c>
      <c r="C575" s="2" t="s">
        <v>9</v>
      </c>
      <c r="D575">
        <v>789</v>
      </c>
      <c r="E575">
        <v>547</v>
      </c>
      <c r="F575">
        <v>78781.52</v>
      </c>
      <c r="G575">
        <v>0.23426455367083246</v>
      </c>
      <c r="H575">
        <v>3.622715404699739</v>
      </c>
      <c r="I575">
        <v>0.20475319926873858</v>
      </c>
    </row>
    <row r="576" spans="1:9">
      <c r="A576">
        <v>2017</v>
      </c>
      <c r="B576" s="1">
        <v>43070</v>
      </c>
      <c r="C576" s="2" t="s">
        <v>9</v>
      </c>
      <c r="D576">
        <v>391</v>
      </c>
      <c r="E576">
        <v>315</v>
      </c>
      <c r="F576">
        <v>39530.589999999997</v>
      </c>
      <c r="G576">
        <v>0.23328873021094396</v>
      </c>
      <c r="H576">
        <v>3.8743455497382198</v>
      </c>
      <c r="I576">
        <v>0.10476190476190476</v>
      </c>
    </row>
    <row r="577" spans="1:9">
      <c r="A577">
        <v>2018</v>
      </c>
      <c r="B577" s="1">
        <v>43101</v>
      </c>
      <c r="C577" s="2" t="s">
        <v>9</v>
      </c>
      <c r="D577">
        <v>616</v>
      </c>
      <c r="E577">
        <v>478</v>
      </c>
      <c r="F577">
        <v>68114.61</v>
      </c>
      <c r="G577">
        <v>0.21982353009924768</v>
      </c>
      <c r="H577">
        <v>3.9130434782608696</v>
      </c>
      <c r="I577">
        <v>5.8577405857740586E-2</v>
      </c>
    </row>
    <row r="578" spans="1:9">
      <c r="A578">
        <v>2018</v>
      </c>
      <c r="B578" s="1">
        <v>43132</v>
      </c>
      <c r="C578" s="2" t="s">
        <v>9</v>
      </c>
      <c r="D578">
        <v>434</v>
      </c>
      <c r="E578">
        <v>342</v>
      </c>
      <c r="F578">
        <v>46886.49</v>
      </c>
      <c r="G578">
        <v>0.22006509164064617</v>
      </c>
      <c r="H578">
        <v>3.5465393794749405</v>
      </c>
      <c r="I578">
        <v>0.19883040935672514</v>
      </c>
    </row>
    <row r="579" spans="1:9">
      <c r="A579">
        <v>2018</v>
      </c>
      <c r="B579" s="1">
        <v>43160</v>
      </c>
      <c r="C579" s="2" t="s">
        <v>9</v>
      </c>
      <c r="D579">
        <v>600</v>
      </c>
      <c r="E579">
        <v>442</v>
      </c>
      <c r="F579">
        <v>66160.600000000006</v>
      </c>
      <c r="G579">
        <v>0.24481463020856581</v>
      </c>
      <c r="H579">
        <v>3.495697074010327</v>
      </c>
      <c r="I579">
        <v>0.21719457013574661</v>
      </c>
    </row>
    <row r="580" spans="1:9">
      <c r="A580">
        <v>2018</v>
      </c>
      <c r="B580" s="1">
        <v>43191</v>
      </c>
      <c r="C580" s="2" t="s">
        <v>9</v>
      </c>
      <c r="D580">
        <v>595</v>
      </c>
      <c r="E580">
        <v>466</v>
      </c>
      <c r="F580">
        <v>68481.539999999994</v>
      </c>
      <c r="G580">
        <v>0.20942434659033204</v>
      </c>
      <c r="H580">
        <v>3.9612794612794615</v>
      </c>
      <c r="I580">
        <v>3.0042918454935622E-2</v>
      </c>
    </row>
    <row r="581" spans="1:9">
      <c r="A581">
        <v>2018</v>
      </c>
      <c r="B581" s="1">
        <v>43221</v>
      </c>
      <c r="C581" s="2" t="s">
        <v>9</v>
      </c>
      <c r="D581">
        <v>605</v>
      </c>
      <c r="E581">
        <v>462</v>
      </c>
      <c r="F581">
        <v>65724.639999999999</v>
      </c>
      <c r="G581">
        <v>0.19385611622082546</v>
      </c>
      <c r="H581">
        <v>4.0248756218905477</v>
      </c>
      <c r="I581">
        <v>9.9567099567099568E-2</v>
      </c>
    </row>
    <row r="582" spans="1:9">
      <c r="A582">
        <v>2018</v>
      </c>
      <c r="B582" s="1">
        <v>43252</v>
      </c>
      <c r="C582" s="2" t="s">
        <v>9</v>
      </c>
      <c r="D582">
        <v>405</v>
      </c>
      <c r="E582">
        <v>318</v>
      </c>
      <c r="F582">
        <v>52528.92</v>
      </c>
      <c r="G582">
        <v>0.24772788248964508</v>
      </c>
      <c r="H582">
        <v>4.0371287128712874</v>
      </c>
      <c r="I582">
        <v>3.1446540880503146E-3</v>
      </c>
    </row>
    <row r="583" spans="1:9">
      <c r="A583">
        <v>2018</v>
      </c>
      <c r="B583" s="1">
        <v>43282</v>
      </c>
      <c r="C583" s="2" t="s">
        <v>9</v>
      </c>
      <c r="D583">
        <v>440</v>
      </c>
      <c r="E583">
        <v>347</v>
      </c>
      <c r="F583">
        <v>57406.26</v>
      </c>
      <c r="G583">
        <v>0.23908188706081293</v>
      </c>
      <c r="H583">
        <v>4.3341013824884795</v>
      </c>
      <c r="I583">
        <v>4.0345821325648415E-2</v>
      </c>
    </row>
    <row r="584" spans="1:9">
      <c r="A584">
        <v>2018</v>
      </c>
      <c r="B584" s="1">
        <v>43313</v>
      </c>
      <c r="C584" s="2" t="s">
        <v>9</v>
      </c>
      <c r="D584">
        <v>433</v>
      </c>
      <c r="E584">
        <v>344</v>
      </c>
      <c r="F584">
        <v>51976.65</v>
      </c>
      <c r="G584">
        <v>0.24433647894972019</v>
      </c>
      <c r="H584">
        <v>4.1064814814814818</v>
      </c>
      <c r="I584">
        <v>8.1395348837209308E-2</v>
      </c>
    </row>
    <row r="585" spans="1:9">
      <c r="A585">
        <v>2017</v>
      </c>
      <c r="B585" s="1">
        <v>42736</v>
      </c>
      <c r="C585" s="2" t="s">
        <v>45</v>
      </c>
      <c r="D585">
        <v>8</v>
      </c>
      <c r="E585">
        <v>8</v>
      </c>
      <c r="F585">
        <v>148.76</v>
      </c>
      <c r="G585">
        <v>0.50658501079447815</v>
      </c>
      <c r="H585">
        <v>5</v>
      </c>
      <c r="I585">
        <v>0</v>
      </c>
    </row>
    <row r="586" spans="1:9">
      <c r="A586">
        <v>2017</v>
      </c>
      <c r="B586" s="1">
        <v>42767</v>
      </c>
      <c r="C586" s="2" t="s">
        <v>45</v>
      </c>
      <c r="D586">
        <v>1</v>
      </c>
      <c r="E586">
        <v>1</v>
      </c>
      <c r="F586">
        <v>501.88</v>
      </c>
      <c r="G586">
        <v>0.10337132382242767</v>
      </c>
      <c r="H586">
        <v>5</v>
      </c>
      <c r="I586">
        <v>0</v>
      </c>
    </row>
    <row r="587" spans="1:9">
      <c r="A587">
        <v>2017</v>
      </c>
      <c r="B587" s="1">
        <v>42826</v>
      </c>
      <c r="C587" s="2" t="s">
        <v>45</v>
      </c>
      <c r="D587">
        <v>5</v>
      </c>
      <c r="E587">
        <v>4</v>
      </c>
      <c r="F587">
        <v>1091.28</v>
      </c>
      <c r="G587">
        <v>0.18951518956943678</v>
      </c>
      <c r="H587">
        <v>1.6</v>
      </c>
      <c r="I587">
        <v>0.25</v>
      </c>
    </row>
    <row r="588" spans="1:9">
      <c r="A588">
        <v>2017</v>
      </c>
      <c r="B588" s="1">
        <v>42856</v>
      </c>
      <c r="C588" s="2" t="s">
        <v>45</v>
      </c>
      <c r="D588">
        <v>9</v>
      </c>
      <c r="E588">
        <v>6</v>
      </c>
      <c r="F588">
        <v>2658.95</v>
      </c>
      <c r="G588">
        <v>0.14249249673064959</v>
      </c>
      <c r="H588">
        <v>4.5555555555555554</v>
      </c>
      <c r="I588">
        <v>0</v>
      </c>
    </row>
    <row r="589" spans="1:9">
      <c r="A589">
        <v>2017</v>
      </c>
      <c r="B589" s="1">
        <v>42887</v>
      </c>
      <c r="C589" s="2" t="s">
        <v>45</v>
      </c>
      <c r="D589">
        <v>2</v>
      </c>
      <c r="E589">
        <v>2</v>
      </c>
      <c r="F589">
        <v>351.68</v>
      </c>
      <c r="G589">
        <v>0.12061867351089425</v>
      </c>
      <c r="H589">
        <v>5</v>
      </c>
      <c r="I589">
        <v>0</v>
      </c>
    </row>
    <row r="590" spans="1:9">
      <c r="A590">
        <v>2017</v>
      </c>
      <c r="B590" s="1">
        <v>42917</v>
      </c>
      <c r="C590" s="2" t="s">
        <v>45</v>
      </c>
      <c r="D590">
        <v>5</v>
      </c>
      <c r="E590">
        <v>5</v>
      </c>
      <c r="F590">
        <v>1596.63</v>
      </c>
      <c r="G590">
        <v>0.28044423167905508</v>
      </c>
      <c r="H590">
        <v>3.6</v>
      </c>
      <c r="I590">
        <v>0</v>
      </c>
    </row>
    <row r="591" spans="1:9">
      <c r="A591">
        <v>2017</v>
      </c>
      <c r="B591" s="1">
        <v>42948</v>
      </c>
      <c r="C591" s="2" t="s">
        <v>45</v>
      </c>
      <c r="D591">
        <v>3</v>
      </c>
      <c r="E591">
        <v>3</v>
      </c>
      <c r="F591">
        <v>702.36</v>
      </c>
      <c r="G591">
        <v>0.12091447418647436</v>
      </c>
      <c r="H591">
        <v>4.666666666666667</v>
      </c>
      <c r="I591">
        <v>0</v>
      </c>
    </row>
    <row r="592" spans="1:9">
      <c r="A592">
        <v>2017</v>
      </c>
      <c r="B592" s="1">
        <v>42979</v>
      </c>
      <c r="C592" s="2" t="s">
        <v>45</v>
      </c>
      <c r="D592">
        <v>4</v>
      </c>
      <c r="E592">
        <v>3</v>
      </c>
      <c r="F592">
        <v>923.98</v>
      </c>
      <c r="G592">
        <v>0.22908019803248511</v>
      </c>
      <c r="H592">
        <v>5</v>
      </c>
      <c r="I592">
        <v>0</v>
      </c>
    </row>
    <row r="593" spans="1:9">
      <c r="A593">
        <v>2017</v>
      </c>
      <c r="B593" s="1">
        <v>43009</v>
      </c>
      <c r="C593" s="2" t="s">
        <v>45</v>
      </c>
      <c r="D593">
        <v>4</v>
      </c>
      <c r="E593">
        <v>4</v>
      </c>
      <c r="F593">
        <v>1411.85</v>
      </c>
      <c r="G593">
        <v>0.16915991657036905</v>
      </c>
      <c r="H593">
        <v>4.75</v>
      </c>
      <c r="I593">
        <v>0</v>
      </c>
    </row>
    <row r="594" spans="1:9">
      <c r="A594">
        <v>2017</v>
      </c>
      <c r="B594" s="1">
        <v>43040</v>
      </c>
      <c r="C594" s="2" t="s">
        <v>45</v>
      </c>
      <c r="D594">
        <v>3</v>
      </c>
      <c r="E594">
        <v>3</v>
      </c>
      <c r="F594">
        <v>1050.46</v>
      </c>
      <c r="G594">
        <v>0.19422763878872848</v>
      </c>
      <c r="H594">
        <v>3.3333333333333335</v>
      </c>
      <c r="I594">
        <v>0.66666666666666663</v>
      </c>
    </row>
    <row r="595" spans="1:9">
      <c r="A595">
        <v>2017</v>
      </c>
      <c r="B595" s="1">
        <v>43070</v>
      </c>
      <c r="C595" s="2" t="s">
        <v>45</v>
      </c>
      <c r="D595">
        <v>1</v>
      </c>
      <c r="E595">
        <v>1</v>
      </c>
      <c r="F595">
        <v>230.75</v>
      </c>
      <c r="G595">
        <v>0.19826652221018418</v>
      </c>
      <c r="H595">
        <v>5</v>
      </c>
      <c r="I595">
        <v>0</v>
      </c>
    </row>
    <row r="596" spans="1:9">
      <c r="A596">
        <v>2018</v>
      </c>
      <c r="B596" s="1">
        <v>43101</v>
      </c>
      <c r="C596" s="2" t="s">
        <v>45</v>
      </c>
      <c r="D596">
        <v>5</v>
      </c>
      <c r="E596">
        <v>5</v>
      </c>
      <c r="F596">
        <v>1065.04</v>
      </c>
      <c r="G596">
        <v>0.13986819444293494</v>
      </c>
      <c r="H596">
        <v>3.6</v>
      </c>
      <c r="I596">
        <v>0</v>
      </c>
    </row>
    <row r="597" spans="1:9">
      <c r="A597">
        <v>2018</v>
      </c>
      <c r="B597" s="1">
        <v>43132</v>
      </c>
      <c r="C597" s="2" t="s">
        <v>45</v>
      </c>
      <c r="D597">
        <v>8</v>
      </c>
      <c r="E597">
        <v>7</v>
      </c>
      <c r="F597">
        <v>1395.1</v>
      </c>
      <c r="G597">
        <v>0.26344412558282315</v>
      </c>
      <c r="H597">
        <v>4.166666666666667</v>
      </c>
      <c r="I597">
        <v>0</v>
      </c>
    </row>
    <row r="598" spans="1:9">
      <c r="A598">
        <v>2018</v>
      </c>
      <c r="B598" s="1">
        <v>43160</v>
      </c>
      <c r="C598" s="2" t="s">
        <v>45</v>
      </c>
      <c r="D598">
        <v>6</v>
      </c>
      <c r="E598">
        <v>6</v>
      </c>
      <c r="F598">
        <v>1265.69</v>
      </c>
      <c r="G598">
        <v>0.1653409752424517</v>
      </c>
      <c r="H598">
        <v>4.166666666666667</v>
      </c>
      <c r="I598">
        <v>0.16666666666666666</v>
      </c>
    </row>
    <row r="599" spans="1:9">
      <c r="A599">
        <v>2018</v>
      </c>
      <c r="B599" s="1">
        <v>43191</v>
      </c>
      <c r="C599" s="2" t="s">
        <v>45</v>
      </c>
      <c r="D599">
        <v>8</v>
      </c>
      <c r="E599">
        <v>7</v>
      </c>
      <c r="F599">
        <v>1849.22</v>
      </c>
      <c r="G599">
        <v>0.19832872429753018</v>
      </c>
      <c r="H599">
        <v>4</v>
      </c>
      <c r="I599">
        <v>0.14285714285714285</v>
      </c>
    </row>
    <row r="600" spans="1:9">
      <c r="A600">
        <v>2018</v>
      </c>
      <c r="B600" s="1">
        <v>43221</v>
      </c>
      <c r="C600" s="2" t="s">
        <v>45</v>
      </c>
      <c r="D600">
        <v>6</v>
      </c>
      <c r="E600">
        <v>5</v>
      </c>
      <c r="F600">
        <v>1816.91</v>
      </c>
      <c r="G600">
        <v>0.21572029748648561</v>
      </c>
      <c r="H600">
        <v>4.166666666666667</v>
      </c>
      <c r="I600">
        <v>0</v>
      </c>
    </row>
    <row r="601" spans="1:9">
      <c r="A601">
        <v>2018</v>
      </c>
      <c r="B601" s="1">
        <v>43252</v>
      </c>
      <c r="C601" s="2" t="s">
        <v>45</v>
      </c>
      <c r="D601">
        <v>9</v>
      </c>
      <c r="E601">
        <v>8</v>
      </c>
      <c r="F601">
        <v>1941.82</v>
      </c>
      <c r="G601">
        <v>0.21573255528186847</v>
      </c>
      <c r="H601">
        <v>3.8888888888888888</v>
      </c>
      <c r="I601">
        <v>0</v>
      </c>
    </row>
    <row r="602" spans="1:9">
      <c r="A602">
        <v>2018</v>
      </c>
      <c r="B602" s="1">
        <v>43282</v>
      </c>
      <c r="C602" s="2" t="s">
        <v>45</v>
      </c>
      <c r="D602">
        <v>10</v>
      </c>
      <c r="E602">
        <v>7</v>
      </c>
      <c r="F602">
        <v>1838.77</v>
      </c>
      <c r="G602">
        <v>0.25148586106206366</v>
      </c>
      <c r="H602">
        <v>3.7</v>
      </c>
      <c r="I602">
        <v>0</v>
      </c>
    </row>
    <row r="603" spans="1:9">
      <c r="A603">
        <v>2018</v>
      </c>
      <c r="B603" s="1">
        <v>43313</v>
      </c>
      <c r="C603" s="2" t="s">
        <v>45</v>
      </c>
      <c r="D603">
        <v>12</v>
      </c>
      <c r="E603">
        <v>10</v>
      </c>
      <c r="F603">
        <v>2819.88</v>
      </c>
      <c r="G603">
        <v>0.23207385203339198</v>
      </c>
      <c r="H603">
        <v>4.333333333333333</v>
      </c>
      <c r="I603">
        <v>0.2</v>
      </c>
    </row>
    <row r="604" spans="1:9">
      <c r="A604">
        <v>2017</v>
      </c>
      <c r="B604" s="1">
        <v>42795</v>
      </c>
      <c r="C604" s="2" t="s">
        <v>67</v>
      </c>
      <c r="D604">
        <v>5</v>
      </c>
      <c r="E604">
        <v>5</v>
      </c>
      <c r="F604">
        <v>168.89</v>
      </c>
      <c r="G604">
        <v>0.37789848545326316</v>
      </c>
      <c r="H604">
        <v>5</v>
      </c>
      <c r="I604">
        <v>0</v>
      </c>
    </row>
    <row r="605" spans="1:9">
      <c r="A605">
        <v>2017</v>
      </c>
      <c r="B605" s="1">
        <v>42826</v>
      </c>
      <c r="C605" s="2" t="s">
        <v>67</v>
      </c>
      <c r="D605">
        <v>3</v>
      </c>
      <c r="E605">
        <v>2</v>
      </c>
      <c r="F605">
        <v>80.78</v>
      </c>
      <c r="G605">
        <v>0.40828199193499815</v>
      </c>
      <c r="H605">
        <v>3.6666666666666665</v>
      </c>
      <c r="I605">
        <v>0</v>
      </c>
    </row>
    <row r="606" spans="1:9">
      <c r="A606">
        <v>2017</v>
      </c>
      <c r="B606" s="1">
        <v>42856</v>
      </c>
      <c r="C606" s="2" t="s">
        <v>67</v>
      </c>
      <c r="D606">
        <v>17</v>
      </c>
      <c r="E606">
        <v>12</v>
      </c>
      <c r="F606">
        <v>630.41</v>
      </c>
      <c r="G606">
        <v>0.38611428985787521</v>
      </c>
      <c r="H606">
        <v>4.3529411764705879</v>
      </c>
      <c r="I606">
        <v>0</v>
      </c>
    </row>
    <row r="607" spans="1:9">
      <c r="A607">
        <v>2017</v>
      </c>
      <c r="B607" s="1">
        <v>42887</v>
      </c>
      <c r="C607" s="2" t="s">
        <v>67</v>
      </c>
      <c r="D607">
        <v>2</v>
      </c>
      <c r="E607">
        <v>2</v>
      </c>
      <c r="F607">
        <v>82.78</v>
      </c>
      <c r="G607">
        <v>0.30024430095569798</v>
      </c>
      <c r="H607">
        <v>5</v>
      </c>
      <c r="I607">
        <v>0</v>
      </c>
    </row>
    <row r="608" spans="1:9">
      <c r="A608">
        <v>2017</v>
      </c>
      <c r="B608" s="1">
        <v>42917</v>
      </c>
      <c r="C608" s="2" t="s">
        <v>67</v>
      </c>
      <c r="D608">
        <v>8</v>
      </c>
      <c r="E608">
        <v>7</v>
      </c>
      <c r="F608">
        <v>261.68</v>
      </c>
      <c r="G608">
        <v>0.36592598450731234</v>
      </c>
      <c r="H608">
        <v>4.625</v>
      </c>
      <c r="I608">
        <v>0</v>
      </c>
    </row>
    <row r="609" spans="1:9">
      <c r="A609">
        <v>2017</v>
      </c>
      <c r="B609" s="1">
        <v>42948</v>
      </c>
      <c r="C609" s="2" t="s">
        <v>67</v>
      </c>
      <c r="D609">
        <v>15</v>
      </c>
      <c r="E609">
        <v>12</v>
      </c>
      <c r="F609">
        <v>728.95</v>
      </c>
      <c r="G609">
        <v>0.3438318051089117</v>
      </c>
      <c r="H609">
        <v>4.7333333333333334</v>
      </c>
      <c r="I609">
        <v>0</v>
      </c>
    </row>
    <row r="610" spans="1:9">
      <c r="A610">
        <v>2017</v>
      </c>
      <c r="B610" s="1">
        <v>42979</v>
      </c>
      <c r="C610" s="2" t="s">
        <v>67</v>
      </c>
      <c r="D610">
        <v>9</v>
      </c>
      <c r="E610">
        <v>6</v>
      </c>
      <c r="F610">
        <v>444.78</v>
      </c>
      <c r="G610">
        <v>0.30526304386668052</v>
      </c>
      <c r="H610">
        <v>2.6666666666666665</v>
      </c>
      <c r="I610">
        <v>0.66666666666666663</v>
      </c>
    </row>
    <row r="611" spans="1:9">
      <c r="A611">
        <v>2017</v>
      </c>
      <c r="B611" s="1">
        <v>43009</v>
      </c>
      <c r="C611" s="2" t="s">
        <v>67</v>
      </c>
      <c r="D611">
        <v>17</v>
      </c>
      <c r="E611">
        <v>15</v>
      </c>
      <c r="F611">
        <v>2654.99</v>
      </c>
      <c r="G611">
        <v>0.19651987118928124</v>
      </c>
      <c r="H611">
        <v>4.8235294117647056</v>
      </c>
      <c r="I611">
        <v>0.13333333333333333</v>
      </c>
    </row>
    <row r="612" spans="1:9">
      <c r="A612">
        <v>2017</v>
      </c>
      <c r="B612" s="1">
        <v>43040</v>
      </c>
      <c r="C612" s="2" t="s">
        <v>67</v>
      </c>
      <c r="D612">
        <v>33</v>
      </c>
      <c r="E612">
        <v>28</v>
      </c>
      <c r="F612">
        <v>3031.35</v>
      </c>
      <c r="G612">
        <v>0.27820391464775063</v>
      </c>
      <c r="H612">
        <v>3.5483870967741935</v>
      </c>
      <c r="I612">
        <v>7.1428571428571425E-2</v>
      </c>
    </row>
    <row r="613" spans="1:9">
      <c r="A613">
        <v>2017</v>
      </c>
      <c r="B613" s="1">
        <v>43070</v>
      </c>
      <c r="C613" s="2" t="s">
        <v>67</v>
      </c>
      <c r="D613">
        <v>22</v>
      </c>
      <c r="E613">
        <v>19</v>
      </c>
      <c r="F613">
        <v>1484.86</v>
      </c>
      <c r="G613">
        <v>0.29035460974895422</v>
      </c>
      <c r="H613">
        <v>4.5909090909090908</v>
      </c>
      <c r="I613">
        <v>0</v>
      </c>
    </row>
    <row r="614" spans="1:9">
      <c r="A614">
        <v>2018</v>
      </c>
      <c r="B614" s="1">
        <v>43101</v>
      </c>
      <c r="C614" s="2" t="s">
        <v>67</v>
      </c>
      <c r="D614">
        <v>11</v>
      </c>
      <c r="E614">
        <v>10</v>
      </c>
      <c r="F614">
        <v>529.22</v>
      </c>
      <c r="G614">
        <v>0.40471010980892747</v>
      </c>
      <c r="H614">
        <v>4.2727272727272725</v>
      </c>
      <c r="I614">
        <v>0</v>
      </c>
    </row>
    <row r="615" spans="1:9">
      <c r="A615">
        <v>2018</v>
      </c>
      <c r="B615" s="1">
        <v>43132</v>
      </c>
      <c r="C615" s="2" t="s">
        <v>67</v>
      </c>
      <c r="D615">
        <v>24</v>
      </c>
      <c r="E615">
        <v>21</v>
      </c>
      <c r="F615">
        <v>1387.34</v>
      </c>
      <c r="G615">
        <v>0.27196418267444877</v>
      </c>
      <c r="H615">
        <v>4.1304347826086953</v>
      </c>
      <c r="I615">
        <v>4.7619047619047616E-2</v>
      </c>
    </row>
    <row r="616" spans="1:9">
      <c r="A616">
        <v>2018</v>
      </c>
      <c r="B616" s="1">
        <v>43160</v>
      </c>
      <c r="C616" s="2" t="s">
        <v>67</v>
      </c>
      <c r="D616">
        <v>19</v>
      </c>
      <c r="E616">
        <v>17</v>
      </c>
      <c r="F616">
        <v>2623.5</v>
      </c>
      <c r="G616">
        <v>0.19802978232294041</v>
      </c>
      <c r="H616">
        <v>4.4736842105263159</v>
      </c>
      <c r="I616">
        <v>0.11764705882352941</v>
      </c>
    </row>
    <row r="617" spans="1:9">
      <c r="A617">
        <v>2018</v>
      </c>
      <c r="B617" s="1">
        <v>43191</v>
      </c>
      <c r="C617" s="2" t="s">
        <v>67</v>
      </c>
      <c r="D617">
        <v>18</v>
      </c>
      <c r="E617">
        <v>16</v>
      </c>
      <c r="F617">
        <v>885.03</v>
      </c>
      <c r="G617">
        <v>0.3275862589937909</v>
      </c>
      <c r="H617">
        <v>4.5</v>
      </c>
      <c r="I617">
        <v>0</v>
      </c>
    </row>
    <row r="618" spans="1:9">
      <c r="A618">
        <v>2018</v>
      </c>
      <c r="B618" s="1">
        <v>43221</v>
      </c>
      <c r="C618" s="2" t="s">
        <v>67</v>
      </c>
      <c r="D618">
        <v>25</v>
      </c>
      <c r="E618">
        <v>15</v>
      </c>
      <c r="F618">
        <v>1674.74</v>
      </c>
      <c r="G618">
        <v>0.29701226944647846</v>
      </c>
      <c r="H618">
        <v>4.68</v>
      </c>
      <c r="I618">
        <v>0</v>
      </c>
    </row>
    <row r="619" spans="1:9">
      <c r="A619">
        <v>2018</v>
      </c>
      <c r="B619" s="1">
        <v>43252</v>
      </c>
      <c r="C619" s="2" t="s">
        <v>67</v>
      </c>
      <c r="D619">
        <v>11</v>
      </c>
      <c r="E619">
        <v>9</v>
      </c>
      <c r="F619">
        <v>512.80999999999995</v>
      </c>
      <c r="G619">
        <v>0.45149819032411481</v>
      </c>
      <c r="H619">
        <v>3.3636363636363638</v>
      </c>
      <c r="I619">
        <v>0</v>
      </c>
    </row>
    <row r="620" spans="1:9">
      <c r="A620">
        <v>2018</v>
      </c>
      <c r="B620" s="1">
        <v>43282</v>
      </c>
      <c r="C620" s="2" t="s">
        <v>67</v>
      </c>
      <c r="D620">
        <v>18</v>
      </c>
      <c r="E620">
        <v>15</v>
      </c>
      <c r="F620">
        <v>1164.97</v>
      </c>
      <c r="G620">
        <v>0.30332349042382428</v>
      </c>
      <c r="H620">
        <v>4.3888888888888893</v>
      </c>
      <c r="I620">
        <v>0</v>
      </c>
    </row>
    <row r="621" spans="1:9">
      <c r="A621">
        <v>2018</v>
      </c>
      <c r="B621" s="1">
        <v>43313</v>
      </c>
      <c r="C621" s="2" t="s">
        <v>67</v>
      </c>
      <c r="D621">
        <v>21</v>
      </c>
      <c r="E621">
        <v>16</v>
      </c>
      <c r="F621">
        <v>1340.39</v>
      </c>
      <c r="G621">
        <v>0.28016109967133385</v>
      </c>
      <c r="H621">
        <v>4.8095238095238093</v>
      </c>
      <c r="I621">
        <v>0</v>
      </c>
    </row>
    <row r="622" spans="1:9">
      <c r="A622">
        <v>2017</v>
      </c>
      <c r="B622" s="1">
        <v>42736</v>
      </c>
      <c r="C622" s="2" t="s">
        <v>29</v>
      </c>
      <c r="D622">
        <v>2</v>
      </c>
      <c r="E622">
        <v>2</v>
      </c>
      <c r="F622">
        <v>78.819999999999993</v>
      </c>
      <c r="G622">
        <v>0.4679102410194847</v>
      </c>
      <c r="H622">
        <v>5</v>
      </c>
      <c r="I622">
        <v>0</v>
      </c>
    </row>
    <row r="623" spans="1:9">
      <c r="A623">
        <v>2017</v>
      </c>
      <c r="B623" s="1">
        <v>42767</v>
      </c>
      <c r="C623" s="2" t="s">
        <v>29</v>
      </c>
      <c r="D623">
        <v>9</v>
      </c>
      <c r="E623">
        <v>9</v>
      </c>
      <c r="F623">
        <v>930.2</v>
      </c>
      <c r="G623">
        <v>0.33432688571552566</v>
      </c>
      <c r="H623">
        <v>3.8888888888888888</v>
      </c>
      <c r="I623">
        <v>0.1111111111111111</v>
      </c>
    </row>
    <row r="624" spans="1:9">
      <c r="A624">
        <v>2017</v>
      </c>
      <c r="B624" s="1">
        <v>42795</v>
      </c>
      <c r="C624" s="2" t="s">
        <v>29</v>
      </c>
      <c r="D624">
        <v>24</v>
      </c>
      <c r="E624">
        <v>22</v>
      </c>
      <c r="F624">
        <v>3158.99</v>
      </c>
      <c r="G624">
        <v>0.20837216936833977</v>
      </c>
      <c r="H624">
        <v>3.9583333333333335</v>
      </c>
      <c r="I624">
        <v>4.5454545454545456E-2</v>
      </c>
    </row>
    <row r="625" spans="1:9">
      <c r="A625">
        <v>2017</v>
      </c>
      <c r="B625" s="1">
        <v>42826</v>
      </c>
      <c r="C625" s="2" t="s">
        <v>29</v>
      </c>
      <c r="D625">
        <v>8</v>
      </c>
      <c r="E625">
        <v>8</v>
      </c>
      <c r="F625">
        <v>611.15</v>
      </c>
      <c r="G625">
        <v>0.24255288342434958</v>
      </c>
      <c r="H625">
        <v>4.25</v>
      </c>
      <c r="I625">
        <v>0.125</v>
      </c>
    </row>
    <row r="626" spans="1:9">
      <c r="A626">
        <v>2017</v>
      </c>
      <c r="B626" s="1">
        <v>42856</v>
      </c>
      <c r="C626" s="2" t="s">
        <v>29</v>
      </c>
      <c r="D626">
        <v>3</v>
      </c>
      <c r="E626">
        <v>3</v>
      </c>
      <c r="F626">
        <v>452.25</v>
      </c>
      <c r="G626">
        <v>0.13385549362013058</v>
      </c>
      <c r="H626">
        <v>3.3333333333333335</v>
      </c>
      <c r="I626">
        <v>0.33333333333333331</v>
      </c>
    </row>
    <row r="627" spans="1:9">
      <c r="A627">
        <v>2017</v>
      </c>
      <c r="B627" s="1">
        <v>42887</v>
      </c>
      <c r="C627" s="2" t="s">
        <v>29</v>
      </c>
      <c r="D627">
        <v>1</v>
      </c>
      <c r="E627">
        <v>1</v>
      </c>
      <c r="F627">
        <v>171.79</v>
      </c>
      <c r="G627">
        <v>0.12742301647360149</v>
      </c>
      <c r="H627">
        <v>5</v>
      </c>
      <c r="I627">
        <v>0</v>
      </c>
    </row>
    <row r="628" spans="1:9">
      <c r="A628">
        <v>2017</v>
      </c>
      <c r="B628" s="1">
        <v>42917</v>
      </c>
      <c r="C628" s="2" t="s">
        <v>29</v>
      </c>
      <c r="D628">
        <v>7</v>
      </c>
      <c r="E628">
        <v>7</v>
      </c>
      <c r="F628">
        <v>754.19</v>
      </c>
      <c r="G628">
        <v>0.25287773340003272</v>
      </c>
      <c r="H628">
        <v>5</v>
      </c>
      <c r="I628">
        <v>0</v>
      </c>
    </row>
    <row r="629" spans="1:9">
      <c r="A629">
        <v>2017</v>
      </c>
      <c r="B629" s="1">
        <v>42948</v>
      </c>
      <c r="C629" s="2" t="s">
        <v>29</v>
      </c>
      <c r="D629">
        <v>8</v>
      </c>
      <c r="E629">
        <v>8</v>
      </c>
      <c r="F629">
        <v>500.23</v>
      </c>
      <c r="G629">
        <v>0.32280888965173976</v>
      </c>
      <c r="H629">
        <v>4.75</v>
      </c>
      <c r="I629">
        <v>0</v>
      </c>
    </row>
    <row r="630" spans="1:9">
      <c r="A630">
        <v>2017</v>
      </c>
      <c r="B630" s="1">
        <v>42979</v>
      </c>
      <c r="C630" s="2" t="s">
        <v>29</v>
      </c>
      <c r="D630">
        <v>17</v>
      </c>
      <c r="E630">
        <v>13</v>
      </c>
      <c r="F630">
        <v>1239.2</v>
      </c>
      <c r="G630">
        <v>0.24567323661957011</v>
      </c>
      <c r="H630">
        <v>4.2941176470588234</v>
      </c>
      <c r="I630">
        <v>7.6923076923076927E-2</v>
      </c>
    </row>
    <row r="631" spans="1:9">
      <c r="A631">
        <v>2017</v>
      </c>
      <c r="B631" s="1">
        <v>43009</v>
      </c>
      <c r="C631" s="2" t="s">
        <v>29</v>
      </c>
      <c r="D631">
        <v>17</v>
      </c>
      <c r="E631">
        <v>12</v>
      </c>
      <c r="F631">
        <v>1022.42</v>
      </c>
      <c r="G631">
        <v>0.24197631122816654</v>
      </c>
      <c r="H631">
        <v>4.7272727272727275</v>
      </c>
      <c r="I631">
        <v>0</v>
      </c>
    </row>
    <row r="632" spans="1:9">
      <c r="A632">
        <v>2017</v>
      </c>
      <c r="B632" s="1">
        <v>43040</v>
      </c>
      <c r="C632" s="2" t="s">
        <v>29</v>
      </c>
      <c r="D632">
        <v>17</v>
      </c>
      <c r="E632">
        <v>11</v>
      </c>
      <c r="F632">
        <v>771.28</v>
      </c>
      <c r="G632">
        <v>0.31418347238870781</v>
      </c>
      <c r="H632">
        <v>4</v>
      </c>
      <c r="I632">
        <v>0</v>
      </c>
    </row>
    <row r="633" spans="1:9">
      <c r="A633">
        <v>2017</v>
      </c>
      <c r="B633" s="1">
        <v>43070</v>
      </c>
      <c r="C633" s="2" t="s">
        <v>29</v>
      </c>
      <c r="D633">
        <v>14</v>
      </c>
      <c r="E633">
        <v>12</v>
      </c>
      <c r="F633">
        <v>1167.94</v>
      </c>
      <c r="G633">
        <v>0.22067621165282159</v>
      </c>
      <c r="H633">
        <v>4.1818181818181817</v>
      </c>
      <c r="I633">
        <v>0</v>
      </c>
    </row>
    <row r="634" spans="1:9">
      <c r="A634">
        <v>2018</v>
      </c>
      <c r="B634" s="1">
        <v>43101</v>
      </c>
      <c r="C634" s="2" t="s">
        <v>29</v>
      </c>
      <c r="D634">
        <v>20</v>
      </c>
      <c r="E634">
        <v>19</v>
      </c>
      <c r="F634">
        <v>1133.07</v>
      </c>
      <c r="G634">
        <v>0.24869506957160922</v>
      </c>
      <c r="H634">
        <v>3.6</v>
      </c>
      <c r="I634">
        <v>0.15789473684210525</v>
      </c>
    </row>
    <row r="635" spans="1:9">
      <c r="A635">
        <v>2018</v>
      </c>
      <c r="B635" s="1">
        <v>43132</v>
      </c>
      <c r="C635" s="2" t="s">
        <v>29</v>
      </c>
      <c r="D635">
        <v>39</v>
      </c>
      <c r="E635">
        <v>31</v>
      </c>
      <c r="F635">
        <v>2437.19</v>
      </c>
      <c r="G635">
        <v>0.25426292306632048</v>
      </c>
      <c r="H635">
        <v>3.6666666666666665</v>
      </c>
      <c r="I635">
        <v>6.4516129032258063E-2</v>
      </c>
    </row>
    <row r="636" spans="1:9">
      <c r="A636">
        <v>2018</v>
      </c>
      <c r="B636" s="1">
        <v>43160</v>
      </c>
      <c r="C636" s="2" t="s">
        <v>29</v>
      </c>
      <c r="D636">
        <v>35</v>
      </c>
      <c r="E636">
        <v>33</v>
      </c>
      <c r="F636">
        <v>2068.59</v>
      </c>
      <c r="G636">
        <v>0.26492723688063746</v>
      </c>
      <c r="H636">
        <v>3.7714285714285714</v>
      </c>
      <c r="I636">
        <v>0.21212121212121213</v>
      </c>
    </row>
    <row r="637" spans="1:9">
      <c r="A637">
        <v>2018</v>
      </c>
      <c r="B637" s="1">
        <v>43191</v>
      </c>
      <c r="C637" s="2" t="s">
        <v>29</v>
      </c>
      <c r="D637">
        <v>40</v>
      </c>
      <c r="E637">
        <v>36</v>
      </c>
      <c r="F637">
        <v>2219.9899999999998</v>
      </c>
      <c r="G637">
        <v>0.25404696747917999</v>
      </c>
      <c r="H637">
        <v>4.4615384615384617</v>
      </c>
      <c r="I637">
        <v>2.7777777777777776E-2</v>
      </c>
    </row>
    <row r="638" spans="1:9">
      <c r="A638">
        <v>2018</v>
      </c>
      <c r="B638" s="1">
        <v>43221</v>
      </c>
      <c r="C638" s="2" t="s">
        <v>29</v>
      </c>
      <c r="D638">
        <v>44</v>
      </c>
      <c r="E638">
        <v>36</v>
      </c>
      <c r="F638">
        <v>2079.48</v>
      </c>
      <c r="G638">
        <v>0.27014681694309017</v>
      </c>
      <c r="H638">
        <v>4.4772727272727275</v>
      </c>
      <c r="I638">
        <v>5.5555555555555552E-2</v>
      </c>
    </row>
    <row r="639" spans="1:9">
      <c r="A639">
        <v>2018</v>
      </c>
      <c r="B639" s="1">
        <v>43252</v>
      </c>
      <c r="C639" s="2" t="s">
        <v>29</v>
      </c>
      <c r="D639">
        <v>24</v>
      </c>
      <c r="E639">
        <v>24</v>
      </c>
      <c r="F639">
        <v>1693.59</v>
      </c>
      <c r="G639">
        <v>0.24185152196976556</v>
      </c>
      <c r="H639">
        <v>4.041666666666667</v>
      </c>
      <c r="I639">
        <v>4.1666666666666664E-2</v>
      </c>
    </row>
    <row r="640" spans="1:9">
      <c r="A640">
        <v>2018</v>
      </c>
      <c r="B640" s="1">
        <v>43282</v>
      </c>
      <c r="C640" s="2" t="s">
        <v>29</v>
      </c>
      <c r="D640">
        <v>64</v>
      </c>
      <c r="E640">
        <v>59</v>
      </c>
      <c r="F640">
        <v>4401.42</v>
      </c>
      <c r="G640">
        <v>0.2689772523176539</v>
      </c>
      <c r="H640">
        <v>4.290322580645161</v>
      </c>
      <c r="I640">
        <v>1.6949152542372881E-2</v>
      </c>
    </row>
    <row r="641" spans="1:9">
      <c r="A641">
        <v>2018</v>
      </c>
      <c r="B641" s="1">
        <v>43313</v>
      </c>
      <c r="C641" s="2" t="s">
        <v>29</v>
      </c>
      <c r="D641">
        <v>116</v>
      </c>
      <c r="E641">
        <v>103</v>
      </c>
      <c r="F641">
        <v>9676.42</v>
      </c>
      <c r="G641">
        <v>0.16836308334216951</v>
      </c>
      <c r="H641">
        <v>4.4741379310344831</v>
      </c>
      <c r="I641">
        <v>0.12621359223300971</v>
      </c>
    </row>
    <row r="642" spans="1:9">
      <c r="A642">
        <v>2017</v>
      </c>
      <c r="B642" s="1">
        <v>43040</v>
      </c>
      <c r="C642" s="2" t="s">
        <v>79</v>
      </c>
      <c r="D642">
        <v>6</v>
      </c>
      <c r="E642">
        <v>6</v>
      </c>
      <c r="F642">
        <v>269.29000000000002</v>
      </c>
      <c r="G642">
        <v>0.34903350313604109</v>
      </c>
      <c r="H642">
        <v>4.333333333333333</v>
      </c>
      <c r="I642">
        <v>0</v>
      </c>
    </row>
    <row r="643" spans="1:9">
      <c r="A643">
        <v>2017</v>
      </c>
      <c r="B643" s="1">
        <v>43070</v>
      </c>
      <c r="C643" s="2" t="s">
        <v>79</v>
      </c>
      <c r="D643">
        <v>2</v>
      </c>
      <c r="E643">
        <v>2</v>
      </c>
      <c r="F643">
        <v>112.98</v>
      </c>
      <c r="G643">
        <v>0.30266895211233535</v>
      </c>
      <c r="H643">
        <v>5</v>
      </c>
      <c r="I643">
        <v>0</v>
      </c>
    </row>
    <row r="644" spans="1:9">
      <c r="A644">
        <v>2018</v>
      </c>
      <c r="B644" s="1">
        <v>43101</v>
      </c>
      <c r="C644" s="2" t="s">
        <v>79</v>
      </c>
      <c r="D644">
        <v>10</v>
      </c>
      <c r="E644">
        <v>7</v>
      </c>
      <c r="F644">
        <v>438.26</v>
      </c>
      <c r="G644">
        <v>0.37459524368006952</v>
      </c>
      <c r="H644">
        <v>4.25</v>
      </c>
      <c r="I644">
        <v>0.14285714285714285</v>
      </c>
    </row>
    <row r="645" spans="1:9">
      <c r="A645">
        <v>2018</v>
      </c>
      <c r="B645" s="1">
        <v>43132</v>
      </c>
      <c r="C645" s="2" t="s">
        <v>79</v>
      </c>
      <c r="D645">
        <v>4</v>
      </c>
      <c r="E645">
        <v>4</v>
      </c>
      <c r="F645">
        <v>187.7</v>
      </c>
      <c r="G645">
        <v>0.32252471378820002</v>
      </c>
      <c r="H645">
        <v>4.75</v>
      </c>
      <c r="I645">
        <v>0</v>
      </c>
    </row>
    <row r="646" spans="1:9">
      <c r="A646">
        <v>2018</v>
      </c>
      <c r="B646" s="1">
        <v>43160</v>
      </c>
      <c r="C646" s="2" t="s">
        <v>79</v>
      </c>
      <c r="D646">
        <v>3</v>
      </c>
      <c r="E646">
        <v>3</v>
      </c>
      <c r="F646">
        <v>136.41</v>
      </c>
      <c r="G646">
        <v>0.340500737338014</v>
      </c>
      <c r="H646">
        <v>5</v>
      </c>
      <c r="I646">
        <v>0</v>
      </c>
    </row>
    <row r="647" spans="1:9">
      <c r="A647">
        <v>2018</v>
      </c>
      <c r="B647" s="1">
        <v>43191</v>
      </c>
      <c r="C647" s="2" t="s">
        <v>79</v>
      </c>
      <c r="D647">
        <v>3</v>
      </c>
      <c r="E647">
        <v>3</v>
      </c>
      <c r="F647">
        <v>194.49</v>
      </c>
      <c r="G647">
        <v>0.18686569492246558</v>
      </c>
      <c r="H647">
        <v>3.3333333333333335</v>
      </c>
      <c r="I647">
        <v>0</v>
      </c>
    </row>
    <row r="648" spans="1:9">
      <c r="A648">
        <v>2018</v>
      </c>
      <c r="B648" s="1">
        <v>43221</v>
      </c>
      <c r="C648" s="2" t="s">
        <v>79</v>
      </c>
      <c r="D648">
        <v>1</v>
      </c>
      <c r="E648">
        <v>1</v>
      </c>
      <c r="F648">
        <v>35.72</v>
      </c>
      <c r="G648">
        <v>0.54087346024636063</v>
      </c>
      <c r="H648">
        <v>3</v>
      </c>
      <c r="I648">
        <v>0</v>
      </c>
    </row>
    <row r="649" spans="1:9">
      <c r="A649">
        <v>2018</v>
      </c>
      <c r="B649" s="1">
        <v>43252</v>
      </c>
      <c r="C649" s="2" t="s">
        <v>79</v>
      </c>
      <c r="D649">
        <v>2</v>
      </c>
      <c r="E649">
        <v>1</v>
      </c>
      <c r="F649">
        <v>140.69999999999999</v>
      </c>
      <c r="G649">
        <v>0.23240938166311301</v>
      </c>
      <c r="H649">
        <v>5</v>
      </c>
      <c r="I649">
        <v>0</v>
      </c>
    </row>
    <row r="650" spans="1:9">
      <c r="A650">
        <v>2018</v>
      </c>
      <c r="B650" s="1">
        <v>43282</v>
      </c>
      <c r="C650" s="2" t="s">
        <v>79</v>
      </c>
      <c r="D650">
        <v>2</v>
      </c>
      <c r="E650">
        <v>2</v>
      </c>
      <c r="F650">
        <v>83.36</v>
      </c>
      <c r="G650">
        <v>0.43345544024906013</v>
      </c>
      <c r="H650">
        <v>5</v>
      </c>
      <c r="I650">
        <v>0</v>
      </c>
    </row>
    <row r="651" spans="1:9">
      <c r="A651">
        <v>2017</v>
      </c>
      <c r="B651" s="1">
        <v>42736</v>
      </c>
      <c r="C651" s="2" t="s">
        <v>28</v>
      </c>
      <c r="D651">
        <v>22</v>
      </c>
      <c r="E651">
        <v>19</v>
      </c>
      <c r="F651">
        <v>969.56</v>
      </c>
      <c r="G651">
        <v>0.41887215257081906</v>
      </c>
      <c r="H651">
        <v>4.3</v>
      </c>
      <c r="I651">
        <v>0</v>
      </c>
    </row>
    <row r="652" spans="1:9">
      <c r="A652">
        <v>2017</v>
      </c>
      <c r="B652" s="1">
        <v>42767</v>
      </c>
      <c r="C652" s="2" t="s">
        <v>28</v>
      </c>
      <c r="D652">
        <v>22</v>
      </c>
      <c r="E652">
        <v>18</v>
      </c>
      <c r="F652">
        <v>1124.8900000000001</v>
      </c>
      <c r="G652">
        <v>0.40296498453088175</v>
      </c>
      <c r="H652">
        <v>4.1363636363636367</v>
      </c>
      <c r="I652">
        <v>0</v>
      </c>
    </row>
    <row r="653" spans="1:9">
      <c r="A653">
        <v>2017</v>
      </c>
      <c r="B653" s="1">
        <v>42795</v>
      </c>
      <c r="C653" s="2" t="s">
        <v>28</v>
      </c>
      <c r="D653">
        <v>21</v>
      </c>
      <c r="E653">
        <v>15</v>
      </c>
      <c r="F653">
        <v>1919.13</v>
      </c>
      <c r="G653">
        <v>0.22815626863609079</v>
      </c>
      <c r="H653">
        <v>3.1428571428571428</v>
      </c>
      <c r="I653">
        <v>0</v>
      </c>
    </row>
    <row r="654" spans="1:9">
      <c r="A654">
        <v>2017</v>
      </c>
      <c r="B654" s="1">
        <v>42826</v>
      </c>
      <c r="C654" s="2" t="s">
        <v>28</v>
      </c>
      <c r="D654">
        <v>11</v>
      </c>
      <c r="E654">
        <v>7</v>
      </c>
      <c r="F654">
        <v>3168.77</v>
      </c>
      <c r="G654">
        <v>0.19904685583805906</v>
      </c>
      <c r="H654">
        <v>3.0909090909090908</v>
      </c>
      <c r="I654">
        <v>0.14285714285714285</v>
      </c>
    </row>
    <row r="655" spans="1:9">
      <c r="A655">
        <v>2017</v>
      </c>
      <c r="B655" s="1">
        <v>42856</v>
      </c>
      <c r="C655" s="2" t="s">
        <v>28</v>
      </c>
      <c r="D655">
        <v>10</v>
      </c>
      <c r="E655">
        <v>10</v>
      </c>
      <c r="F655">
        <v>607.63</v>
      </c>
      <c r="G655">
        <v>0.29571184024266012</v>
      </c>
      <c r="H655">
        <v>3.1</v>
      </c>
      <c r="I655">
        <v>0.1</v>
      </c>
    </row>
    <row r="656" spans="1:9">
      <c r="A656">
        <v>2017</v>
      </c>
      <c r="B656" s="1">
        <v>42887</v>
      </c>
      <c r="C656" s="2" t="s">
        <v>28</v>
      </c>
      <c r="D656">
        <v>12</v>
      </c>
      <c r="E656">
        <v>12</v>
      </c>
      <c r="F656">
        <v>1141.43</v>
      </c>
      <c r="G656">
        <v>0.29100768113671172</v>
      </c>
      <c r="H656">
        <v>4.333333333333333</v>
      </c>
      <c r="I656">
        <v>0</v>
      </c>
    </row>
    <row r="657" spans="1:9">
      <c r="A657">
        <v>2017</v>
      </c>
      <c r="B657" s="1">
        <v>42917</v>
      </c>
      <c r="C657" s="2" t="s">
        <v>28</v>
      </c>
      <c r="D657">
        <v>9</v>
      </c>
      <c r="E657">
        <v>8</v>
      </c>
      <c r="F657">
        <v>348.27</v>
      </c>
      <c r="G657">
        <v>0.38011369999923278</v>
      </c>
      <c r="H657">
        <v>3.4444444444444442</v>
      </c>
      <c r="I657">
        <v>0</v>
      </c>
    </row>
    <row r="658" spans="1:9">
      <c r="A658">
        <v>2017</v>
      </c>
      <c r="B658" s="1">
        <v>42948</v>
      </c>
      <c r="C658" s="2" t="s">
        <v>28</v>
      </c>
      <c r="D658">
        <v>20</v>
      </c>
      <c r="E658">
        <v>14</v>
      </c>
      <c r="F658">
        <v>3640.31</v>
      </c>
      <c r="G658">
        <v>0.20047951361606423</v>
      </c>
      <c r="H658">
        <v>4.6500000000000004</v>
      </c>
      <c r="I658">
        <v>0</v>
      </c>
    </row>
    <row r="659" spans="1:9">
      <c r="A659">
        <v>2017</v>
      </c>
      <c r="B659" s="1">
        <v>42979</v>
      </c>
      <c r="C659" s="2" t="s">
        <v>28</v>
      </c>
      <c r="D659">
        <v>13</v>
      </c>
      <c r="E659">
        <v>6</v>
      </c>
      <c r="F659">
        <v>13990.19</v>
      </c>
      <c r="G659">
        <v>0.13147809357151738</v>
      </c>
      <c r="H659">
        <v>2.2307692307692308</v>
      </c>
      <c r="I659">
        <v>0</v>
      </c>
    </row>
    <row r="660" spans="1:9">
      <c r="A660">
        <v>2017</v>
      </c>
      <c r="B660" s="1">
        <v>43009</v>
      </c>
      <c r="C660" s="2" t="s">
        <v>28</v>
      </c>
      <c r="D660">
        <v>7</v>
      </c>
      <c r="E660">
        <v>6</v>
      </c>
      <c r="F660">
        <v>3906.03</v>
      </c>
      <c r="G660">
        <v>0.11387401014998899</v>
      </c>
      <c r="H660">
        <v>3.7142857142857144</v>
      </c>
      <c r="I660">
        <v>0</v>
      </c>
    </row>
    <row r="661" spans="1:9">
      <c r="A661">
        <v>2017</v>
      </c>
      <c r="B661" s="1">
        <v>43040</v>
      </c>
      <c r="C661" s="2" t="s">
        <v>28</v>
      </c>
      <c r="D661">
        <v>5</v>
      </c>
      <c r="E661">
        <v>5</v>
      </c>
      <c r="F661">
        <v>1036.48</v>
      </c>
      <c r="G661">
        <v>0.23037294609483044</v>
      </c>
      <c r="H661">
        <v>4</v>
      </c>
      <c r="I661">
        <v>0.2</v>
      </c>
    </row>
    <row r="662" spans="1:9">
      <c r="A662">
        <v>2017</v>
      </c>
      <c r="B662" s="1">
        <v>43070</v>
      </c>
      <c r="C662" s="2" t="s">
        <v>28</v>
      </c>
      <c r="D662">
        <v>5</v>
      </c>
      <c r="E662">
        <v>5</v>
      </c>
      <c r="F662">
        <v>1095.81</v>
      </c>
      <c r="G662">
        <v>0.13772387300619759</v>
      </c>
      <c r="H662">
        <v>4.4000000000000004</v>
      </c>
      <c r="I662">
        <v>0</v>
      </c>
    </row>
    <row r="663" spans="1:9">
      <c r="A663">
        <v>2018</v>
      </c>
      <c r="B663" s="1">
        <v>43101</v>
      </c>
      <c r="C663" s="2" t="s">
        <v>28</v>
      </c>
      <c r="D663">
        <v>10</v>
      </c>
      <c r="E663">
        <v>10</v>
      </c>
      <c r="F663">
        <v>2633.55</v>
      </c>
      <c r="G663">
        <v>0.24839283406159737</v>
      </c>
      <c r="H663">
        <v>4.0999999999999996</v>
      </c>
      <c r="I663">
        <v>0.2</v>
      </c>
    </row>
    <row r="664" spans="1:9">
      <c r="A664">
        <v>2018</v>
      </c>
      <c r="B664" s="1">
        <v>43132</v>
      </c>
      <c r="C664" s="2" t="s">
        <v>28</v>
      </c>
      <c r="D664">
        <v>12</v>
      </c>
      <c r="E664">
        <v>10</v>
      </c>
      <c r="F664">
        <v>6341.82</v>
      </c>
      <c r="G664">
        <v>0.14154644441023348</v>
      </c>
      <c r="H664">
        <v>2.6666666666666665</v>
      </c>
      <c r="I664">
        <v>0.1</v>
      </c>
    </row>
    <row r="665" spans="1:9">
      <c r="A665">
        <v>2018</v>
      </c>
      <c r="B665" s="1">
        <v>43160</v>
      </c>
      <c r="C665" s="2" t="s">
        <v>28</v>
      </c>
      <c r="D665">
        <v>14</v>
      </c>
      <c r="E665">
        <v>12</v>
      </c>
      <c r="F665">
        <v>2200.84</v>
      </c>
      <c r="G665">
        <v>0.1418508023153367</v>
      </c>
      <c r="H665">
        <v>3.5714285714285716</v>
      </c>
      <c r="I665">
        <v>0.16666666666666666</v>
      </c>
    </row>
    <row r="666" spans="1:9">
      <c r="A666">
        <v>2018</v>
      </c>
      <c r="B666" s="1">
        <v>43191</v>
      </c>
      <c r="C666" s="2" t="s">
        <v>28</v>
      </c>
      <c r="D666">
        <v>11</v>
      </c>
      <c r="E666">
        <v>10</v>
      </c>
      <c r="F666">
        <v>2127.6799999999998</v>
      </c>
      <c r="G666">
        <v>0.19247716569099185</v>
      </c>
      <c r="H666">
        <v>3.1818181818181817</v>
      </c>
      <c r="I666">
        <v>0</v>
      </c>
    </row>
    <row r="667" spans="1:9">
      <c r="A667">
        <v>2018</v>
      </c>
      <c r="B667" s="1">
        <v>43221</v>
      </c>
      <c r="C667" s="2" t="s">
        <v>28</v>
      </c>
      <c r="D667">
        <v>17</v>
      </c>
      <c r="E667">
        <v>12</v>
      </c>
      <c r="F667">
        <v>2222.25</v>
      </c>
      <c r="G667">
        <v>0.13174143050061327</v>
      </c>
      <c r="H667">
        <v>3.2941176470588234</v>
      </c>
      <c r="I667">
        <v>8.3333333333333329E-2</v>
      </c>
    </row>
    <row r="668" spans="1:9">
      <c r="A668">
        <v>2018</v>
      </c>
      <c r="B668" s="1">
        <v>43252</v>
      </c>
      <c r="C668" s="2" t="s">
        <v>28</v>
      </c>
      <c r="D668">
        <v>17</v>
      </c>
      <c r="E668">
        <v>15</v>
      </c>
      <c r="F668">
        <v>2422.52</v>
      </c>
      <c r="G668">
        <v>0.19894927819306488</v>
      </c>
      <c r="H668">
        <v>4.2352941176470589</v>
      </c>
      <c r="I668">
        <v>0</v>
      </c>
    </row>
    <row r="669" spans="1:9">
      <c r="A669">
        <v>2018</v>
      </c>
      <c r="B669" s="1">
        <v>43282</v>
      </c>
      <c r="C669" s="2" t="s">
        <v>28</v>
      </c>
      <c r="D669">
        <v>11</v>
      </c>
      <c r="E669">
        <v>8</v>
      </c>
      <c r="F669">
        <v>9658.18</v>
      </c>
      <c r="G669">
        <v>0.11178383030382431</v>
      </c>
      <c r="H669">
        <v>3.2727272727272725</v>
      </c>
      <c r="I669">
        <v>0</v>
      </c>
    </row>
    <row r="670" spans="1:9">
      <c r="A670">
        <v>2018</v>
      </c>
      <c r="B670" s="1">
        <v>43313</v>
      </c>
      <c r="C670" s="2" t="s">
        <v>28</v>
      </c>
      <c r="D670">
        <v>10</v>
      </c>
      <c r="E670">
        <v>10</v>
      </c>
      <c r="F670">
        <v>2891.02</v>
      </c>
      <c r="G670">
        <v>0.12623571634592254</v>
      </c>
      <c r="H670">
        <v>4.2</v>
      </c>
      <c r="I670">
        <v>0.1</v>
      </c>
    </row>
    <row r="671" spans="1:9">
      <c r="A671">
        <v>2017</v>
      </c>
      <c r="B671" s="1">
        <v>42736</v>
      </c>
      <c r="C671" s="2" t="s">
        <v>44</v>
      </c>
      <c r="D671">
        <v>2</v>
      </c>
      <c r="E671">
        <v>2</v>
      </c>
      <c r="F671">
        <v>171.15</v>
      </c>
      <c r="G671">
        <v>0.20826150801251356</v>
      </c>
      <c r="H671">
        <v>3</v>
      </c>
      <c r="I671">
        <v>0</v>
      </c>
    </row>
    <row r="672" spans="1:9">
      <c r="A672">
        <v>2017</v>
      </c>
      <c r="B672" s="1">
        <v>42767</v>
      </c>
      <c r="C672" s="2" t="s">
        <v>44</v>
      </c>
      <c r="D672">
        <v>8</v>
      </c>
      <c r="E672">
        <v>6</v>
      </c>
      <c r="F672">
        <v>507.83</v>
      </c>
      <c r="G672">
        <v>0.24616776770858126</v>
      </c>
      <c r="H672">
        <v>4</v>
      </c>
      <c r="I672">
        <v>0.33333333333333331</v>
      </c>
    </row>
    <row r="673" spans="1:9">
      <c r="A673">
        <v>2017</v>
      </c>
      <c r="B673" s="1">
        <v>42795</v>
      </c>
      <c r="C673" s="2" t="s">
        <v>44</v>
      </c>
      <c r="D673">
        <v>6</v>
      </c>
      <c r="E673">
        <v>6</v>
      </c>
      <c r="F673">
        <v>460.62</v>
      </c>
      <c r="G673">
        <v>0.24581414263461451</v>
      </c>
      <c r="H673">
        <v>3.8333333333333335</v>
      </c>
      <c r="I673">
        <v>0</v>
      </c>
    </row>
    <row r="674" spans="1:9">
      <c r="A674">
        <v>2017</v>
      </c>
      <c r="B674" s="1">
        <v>42826</v>
      </c>
      <c r="C674" s="2" t="s">
        <v>44</v>
      </c>
      <c r="D674">
        <v>4</v>
      </c>
      <c r="E674">
        <v>4</v>
      </c>
      <c r="F674">
        <v>159.66999999999999</v>
      </c>
      <c r="G674">
        <v>0.49679698741407569</v>
      </c>
      <c r="H674">
        <v>3.5</v>
      </c>
      <c r="I674">
        <v>0</v>
      </c>
    </row>
    <row r="675" spans="1:9">
      <c r="A675">
        <v>2017</v>
      </c>
      <c r="B675" s="1">
        <v>42856</v>
      </c>
      <c r="C675" s="2" t="s">
        <v>44</v>
      </c>
      <c r="D675">
        <v>7</v>
      </c>
      <c r="E675">
        <v>6</v>
      </c>
      <c r="F675">
        <v>369.26</v>
      </c>
      <c r="G675">
        <v>0.48881580687223608</v>
      </c>
      <c r="H675">
        <v>4.2857142857142856</v>
      </c>
      <c r="I675">
        <v>0</v>
      </c>
    </row>
    <row r="676" spans="1:9">
      <c r="A676">
        <v>2017</v>
      </c>
      <c r="B676" s="1">
        <v>42887</v>
      </c>
      <c r="C676" s="2" t="s">
        <v>44</v>
      </c>
      <c r="D676">
        <v>1</v>
      </c>
      <c r="E676">
        <v>1</v>
      </c>
      <c r="F676">
        <v>19</v>
      </c>
      <c r="G676">
        <v>0.79473684210526319</v>
      </c>
      <c r="H676">
        <v>5</v>
      </c>
      <c r="I676">
        <v>0</v>
      </c>
    </row>
    <row r="677" spans="1:9">
      <c r="A677">
        <v>2017</v>
      </c>
      <c r="B677" s="1">
        <v>42917</v>
      </c>
      <c r="C677" s="2" t="s">
        <v>44</v>
      </c>
      <c r="D677">
        <v>3</v>
      </c>
      <c r="E677">
        <v>3</v>
      </c>
      <c r="F677">
        <v>314.48</v>
      </c>
      <c r="G677">
        <v>0.14155309882100517</v>
      </c>
      <c r="H677">
        <v>4</v>
      </c>
      <c r="I677">
        <v>0</v>
      </c>
    </row>
    <row r="678" spans="1:9">
      <c r="A678">
        <v>2017</v>
      </c>
      <c r="B678" s="1">
        <v>42948</v>
      </c>
      <c r="C678" s="2" t="s">
        <v>44</v>
      </c>
      <c r="D678">
        <v>13</v>
      </c>
      <c r="E678">
        <v>13</v>
      </c>
      <c r="F678">
        <v>1308.8699999999999</v>
      </c>
      <c r="G678">
        <v>0.16543562354456687</v>
      </c>
      <c r="H678">
        <v>4.384615384615385</v>
      </c>
      <c r="I678">
        <v>7.6923076923076927E-2</v>
      </c>
    </row>
    <row r="679" spans="1:9">
      <c r="A679">
        <v>2017</v>
      </c>
      <c r="B679" s="1">
        <v>42979</v>
      </c>
      <c r="C679" s="2" t="s">
        <v>44</v>
      </c>
      <c r="D679">
        <v>18</v>
      </c>
      <c r="E679">
        <v>16</v>
      </c>
      <c r="F679">
        <v>2056.2199999999998</v>
      </c>
      <c r="G679">
        <v>0.14538988523851629</v>
      </c>
      <c r="H679">
        <v>4.2222222222222223</v>
      </c>
      <c r="I679">
        <v>0</v>
      </c>
    </row>
    <row r="680" spans="1:9">
      <c r="A680">
        <v>2017</v>
      </c>
      <c r="B680" s="1">
        <v>43009</v>
      </c>
      <c r="C680" s="2" t="s">
        <v>44</v>
      </c>
      <c r="D680">
        <v>3</v>
      </c>
      <c r="E680">
        <v>3</v>
      </c>
      <c r="F680">
        <v>222.95</v>
      </c>
      <c r="G680">
        <v>0.18356956678952843</v>
      </c>
      <c r="H680">
        <v>4.666666666666667</v>
      </c>
      <c r="I680">
        <v>0</v>
      </c>
    </row>
    <row r="681" spans="1:9">
      <c r="A681">
        <v>2017</v>
      </c>
      <c r="B681" s="1">
        <v>43040</v>
      </c>
      <c r="C681" s="2" t="s">
        <v>44</v>
      </c>
      <c r="D681">
        <v>10</v>
      </c>
      <c r="E681">
        <v>10</v>
      </c>
      <c r="F681">
        <v>1391.86</v>
      </c>
      <c r="G681">
        <v>0.13428526502288643</v>
      </c>
      <c r="H681">
        <v>3.2</v>
      </c>
      <c r="I681">
        <v>0.2</v>
      </c>
    </row>
    <row r="682" spans="1:9">
      <c r="A682">
        <v>2017</v>
      </c>
      <c r="B682" s="1">
        <v>43070</v>
      </c>
      <c r="C682" s="2" t="s">
        <v>44</v>
      </c>
      <c r="D682">
        <v>13</v>
      </c>
      <c r="E682">
        <v>13</v>
      </c>
      <c r="F682">
        <v>1359.62</v>
      </c>
      <c r="G682">
        <v>0.15797164577991116</v>
      </c>
      <c r="H682">
        <v>4.2307692307692308</v>
      </c>
      <c r="I682">
        <v>0</v>
      </c>
    </row>
    <row r="683" spans="1:9">
      <c r="A683">
        <v>2018</v>
      </c>
      <c r="B683" s="1">
        <v>43101</v>
      </c>
      <c r="C683" s="2" t="s">
        <v>44</v>
      </c>
      <c r="D683">
        <v>8</v>
      </c>
      <c r="E683">
        <v>8</v>
      </c>
      <c r="F683">
        <v>877.02</v>
      </c>
      <c r="G683">
        <v>0.16195039596985178</v>
      </c>
      <c r="H683">
        <v>4.375</v>
      </c>
      <c r="I683">
        <v>0</v>
      </c>
    </row>
    <row r="684" spans="1:9">
      <c r="A684">
        <v>2018</v>
      </c>
      <c r="B684" s="1">
        <v>43132</v>
      </c>
      <c r="C684" s="2" t="s">
        <v>44</v>
      </c>
      <c r="D684">
        <v>7</v>
      </c>
      <c r="E684">
        <v>7</v>
      </c>
      <c r="F684">
        <v>505.29</v>
      </c>
      <c r="G684">
        <v>0.21205260760143435</v>
      </c>
      <c r="H684">
        <v>2.8333333333333335</v>
      </c>
      <c r="I684">
        <v>0.42857142857142855</v>
      </c>
    </row>
    <row r="685" spans="1:9">
      <c r="A685">
        <v>2018</v>
      </c>
      <c r="B685" s="1">
        <v>43160</v>
      </c>
      <c r="C685" s="2" t="s">
        <v>44</v>
      </c>
      <c r="D685">
        <v>5</v>
      </c>
      <c r="E685">
        <v>5</v>
      </c>
      <c r="F685">
        <v>368.41</v>
      </c>
      <c r="G685">
        <v>0.21453901599252231</v>
      </c>
      <c r="H685">
        <v>3</v>
      </c>
      <c r="I685">
        <v>0.4</v>
      </c>
    </row>
    <row r="686" spans="1:9">
      <c r="A686">
        <v>2018</v>
      </c>
      <c r="B686" s="1">
        <v>43191</v>
      </c>
      <c r="C686" s="2" t="s">
        <v>44</v>
      </c>
      <c r="D686">
        <v>6</v>
      </c>
      <c r="E686">
        <v>6</v>
      </c>
      <c r="F686">
        <v>440.18</v>
      </c>
      <c r="G686">
        <v>0.1874303494259858</v>
      </c>
      <c r="H686">
        <v>4.166666666666667</v>
      </c>
      <c r="I686">
        <v>0.16666666666666666</v>
      </c>
    </row>
    <row r="687" spans="1:9">
      <c r="A687">
        <v>2018</v>
      </c>
      <c r="B687" s="1">
        <v>43221</v>
      </c>
      <c r="C687" s="2" t="s">
        <v>44</v>
      </c>
      <c r="D687">
        <v>6</v>
      </c>
      <c r="E687">
        <v>5</v>
      </c>
      <c r="F687">
        <v>300.45999999999998</v>
      </c>
      <c r="G687">
        <v>0.42119555182289276</v>
      </c>
      <c r="H687">
        <v>4.5</v>
      </c>
      <c r="I687">
        <v>0</v>
      </c>
    </row>
    <row r="688" spans="1:9">
      <c r="A688">
        <v>2018</v>
      </c>
      <c r="B688" s="1">
        <v>43252</v>
      </c>
      <c r="C688" s="2" t="s">
        <v>44</v>
      </c>
      <c r="D688">
        <v>7</v>
      </c>
      <c r="E688">
        <v>3</v>
      </c>
      <c r="F688">
        <v>236.76</v>
      </c>
      <c r="G688">
        <v>0.6315489535739337</v>
      </c>
      <c r="H688">
        <v>3.5</v>
      </c>
      <c r="I688">
        <v>0</v>
      </c>
    </row>
    <row r="689" spans="1:9">
      <c r="A689">
        <v>2018</v>
      </c>
      <c r="B689" s="1">
        <v>43282</v>
      </c>
      <c r="C689" s="2" t="s">
        <v>44</v>
      </c>
      <c r="D689">
        <v>2</v>
      </c>
      <c r="E689">
        <v>2</v>
      </c>
      <c r="F689">
        <v>141.33000000000001</v>
      </c>
      <c r="G689">
        <v>0.22458067396484852</v>
      </c>
      <c r="H689">
        <v>3</v>
      </c>
      <c r="I689">
        <v>0.5</v>
      </c>
    </row>
    <row r="690" spans="1:9">
      <c r="A690">
        <v>2018</v>
      </c>
      <c r="B690" s="1">
        <v>43313</v>
      </c>
      <c r="C690" s="2" t="s">
        <v>44</v>
      </c>
      <c r="D690">
        <v>2</v>
      </c>
      <c r="E690">
        <v>2</v>
      </c>
      <c r="F690">
        <v>246.76</v>
      </c>
      <c r="G690">
        <v>0.1292614233555428</v>
      </c>
      <c r="H690">
        <v>2</v>
      </c>
      <c r="I690">
        <v>0</v>
      </c>
    </row>
    <row r="691" spans="1:9">
      <c r="A691">
        <v>2017</v>
      </c>
      <c r="B691" s="1">
        <v>42795</v>
      </c>
      <c r="C691" s="2" t="s">
        <v>66</v>
      </c>
      <c r="D691">
        <v>1</v>
      </c>
      <c r="E691">
        <v>1</v>
      </c>
      <c r="F691">
        <v>54.01</v>
      </c>
      <c r="G691">
        <v>0.26124791705239769</v>
      </c>
      <c r="H691">
        <v>5</v>
      </c>
      <c r="I691">
        <v>0</v>
      </c>
    </row>
    <row r="692" spans="1:9">
      <c r="A692">
        <v>2017</v>
      </c>
      <c r="B692" s="1">
        <v>42826</v>
      </c>
      <c r="C692" s="2" t="s">
        <v>66</v>
      </c>
      <c r="D692">
        <v>4</v>
      </c>
      <c r="E692">
        <v>4</v>
      </c>
      <c r="F692">
        <v>244.47</v>
      </c>
      <c r="G692">
        <v>0.2364426810126494</v>
      </c>
      <c r="H692">
        <v>3.5</v>
      </c>
      <c r="I692">
        <v>0</v>
      </c>
    </row>
    <row r="693" spans="1:9">
      <c r="A693">
        <v>2017</v>
      </c>
      <c r="B693" s="1">
        <v>42856</v>
      </c>
      <c r="C693" s="2" t="s">
        <v>66</v>
      </c>
      <c r="D693">
        <v>3</v>
      </c>
      <c r="E693">
        <v>3</v>
      </c>
      <c r="F693">
        <v>179.48</v>
      </c>
      <c r="G693">
        <v>0.31015301325329392</v>
      </c>
      <c r="H693">
        <v>5</v>
      </c>
      <c r="I693">
        <v>0</v>
      </c>
    </row>
    <row r="694" spans="1:9">
      <c r="A694">
        <v>2017</v>
      </c>
      <c r="B694" s="1">
        <v>42887</v>
      </c>
      <c r="C694" s="2" t="s">
        <v>66</v>
      </c>
      <c r="D694">
        <v>6</v>
      </c>
      <c r="E694">
        <v>6</v>
      </c>
      <c r="F694">
        <v>607.49</v>
      </c>
      <c r="G694">
        <v>0.20215905817962004</v>
      </c>
      <c r="H694">
        <v>4.333333333333333</v>
      </c>
      <c r="I694">
        <v>0</v>
      </c>
    </row>
    <row r="695" spans="1:9">
      <c r="A695">
        <v>2017</v>
      </c>
      <c r="B695" s="1">
        <v>42917</v>
      </c>
      <c r="C695" s="2" t="s">
        <v>66</v>
      </c>
      <c r="D695">
        <v>1</v>
      </c>
      <c r="E695">
        <v>1</v>
      </c>
      <c r="F695">
        <v>77.680000000000007</v>
      </c>
      <c r="G695">
        <v>0.10015447991761071</v>
      </c>
      <c r="H695">
        <v>4</v>
      </c>
      <c r="I695">
        <v>0</v>
      </c>
    </row>
    <row r="696" spans="1:9">
      <c r="A696">
        <v>2017</v>
      </c>
      <c r="B696" s="1">
        <v>42948</v>
      </c>
      <c r="C696" s="2" t="s">
        <v>66</v>
      </c>
      <c r="D696">
        <v>2</v>
      </c>
      <c r="E696">
        <v>2</v>
      </c>
      <c r="F696">
        <v>389.44</v>
      </c>
      <c r="G696">
        <v>0.27355867269796635</v>
      </c>
      <c r="H696">
        <v>3</v>
      </c>
      <c r="I696">
        <v>0</v>
      </c>
    </row>
    <row r="697" spans="1:9">
      <c r="A697">
        <v>2017</v>
      </c>
      <c r="B697" s="1">
        <v>42979</v>
      </c>
      <c r="C697" s="2" t="s">
        <v>66</v>
      </c>
      <c r="D697">
        <v>5</v>
      </c>
      <c r="E697">
        <v>2</v>
      </c>
      <c r="F697">
        <v>500.82</v>
      </c>
      <c r="G697">
        <v>0.32437370105416752</v>
      </c>
      <c r="H697">
        <v>4.2</v>
      </c>
      <c r="I697">
        <v>0</v>
      </c>
    </row>
    <row r="698" spans="1:9">
      <c r="A698">
        <v>2017</v>
      </c>
      <c r="B698" s="1">
        <v>43009</v>
      </c>
      <c r="C698" s="2" t="s">
        <v>66</v>
      </c>
      <c r="D698">
        <v>1</v>
      </c>
      <c r="E698">
        <v>1</v>
      </c>
      <c r="F698">
        <v>68.62</v>
      </c>
      <c r="G698">
        <v>0.127076654036724</v>
      </c>
      <c r="H698">
        <v>5</v>
      </c>
      <c r="I698">
        <v>1</v>
      </c>
    </row>
    <row r="699" spans="1:9">
      <c r="A699">
        <v>2017</v>
      </c>
      <c r="B699" s="1">
        <v>43040</v>
      </c>
      <c r="C699" s="2" t="s">
        <v>66</v>
      </c>
      <c r="D699">
        <v>1</v>
      </c>
      <c r="E699">
        <v>1</v>
      </c>
      <c r="F699">
        <v>67.680000000000007</v>
      </c>
      <c r="G699">
        <v>0.11495271867612293</v>
      </c>
      <c r="H699">
        <v>5</v>
      </c>
      <c r="I699">
        <v>0</v>
      </c>
    </row>
    <row r="700" spans="1:9">
      <c r="A700">
        <v>2017</v>
      </c>
      <c r="B700" s="1">
        <v>43070</v>
      </c>
      <c r="C700" s="2" t="s">
        <v>66</v>
      </c>
      <c r="D700">
        <v>1</v>
      </c>
      <c r="E700">
        <v>1</v>
      </c>
      <c r="F700">
        <v>76.760000000000005</v>
      </c>
      <c r="G700">
        <v>0.21964564877540385</v>
      </c>
      <c r="H700">
        <v>5</v>
      </c>
      <c r="I700">
        <v>0</v>
      </c>
    </row>
    <row r="701" spans="1:9">
      <c r="A701">
        <v>2018</v>
      </c>
      <c r="B701" s="1">
        <v>43101</v>
      </c>
      <c r="C701" s="2" t="s">
        <v>66</v>
      </c>
      <c r="D701">
        <v>2</v>
      </c>
      <c r="E701">
        <v>2</v>
      </c>
      <c r="F701">
        <v>145.34</v>
      </c>
      <c r="G701">
        <v>0.17482585249545279</v>
      </c>
      <c r="H701">
        <v>4</v>
      </c>
      <c r="I701">
        <v>0</v>
      </c>
    </row>
    <row r="702" spans="1:9">
      <c r="A702">
        <v>2018</v>
      </c>
      <c r="B702" s="1">
        <v>43160</v>
      </c>
      <c r="C702" s="2" t="s">
        <v>66</v>
      </c>
      <c r="D702">
        <v>1</v>
      </c>
      <c r="E702">
        <v>1</v>
      </c>
      <c r="F702">
        <v>97.39</v>
      </c>
      <c r="G702">
        <v>7.6907280008214396E-2</v>
      </c>
      <c r="H702">
        <v>5</v>
      </c>
      <c r="I702">
        <v>0</v>
      </c>
    </row>
    <row r="703" spans="1:9">
      <c r="A703">
        <v>2018</v>
      </c>
      <c r="B703" s="1">
        <v>43191</v>
      </c>
      <c r="C703" s="2" t="s">
        <v>66</v>
      </c>
      <c r="D703">
        <v>1</v>
      </c>
      <c r="E703">
        <v>1</v>
      </c>
      <c r="F703">
        <v>105.41</v>
      </c>
      <c r="G703">
        <v>0.14713974006261266</v>
      </c>
      <c r="H703">
        <v>5</v>
      </c>
      <c r="I703">
        <v>0</v>
      </c>
    </row>
    <row r="704" spans="1:9">
      <c r="A704">
        <v>2018</v>
      </c>
      <c r="B704" s="1">
        <v>43313</v>
      </c>
      <c r="C704" s="2" t="s">
        <v>66</v>
      </c>
      <c r="D704">
        <v>1</v>
      </c>
      <c r="E704">
        <v>1</v>
      </c>
      <c r="F704">
        <v>83.05</v>
      </c>
      <c r="G704">
        <v>0.15833835039133051</v>
      </c>
      <c r="H704">
        <v>3</v>
      </c>
      <c r="I704">
        <v>0</v>
      </c>
    </row>
    <row r="705" spans="1:9">
      <c r="A705">
        <v>2017</v>
      </c>
      <c r="B705" s="1">
        <v>42736</v>
      </c>
      <c r="C705" s="2" t="s">
        <v>27</v>
      </c>
      <c r="D705">
        <v>1</v>
      </c>
      <c r="E705">
        <v>1</v>
      </c>
      <c r="F705">
        <v>49.01</v>
      </c>
      <c r="G705">
        <v>0.28790042848398284</v>
      </c>
      <c r="H705">
        <v>5</v>
      </c>
      <c r="I705">
        <v>0</v>
      </c>
    </row>
    <row r="706" spans="1:9">
      <c r="A706">
        <v>2017</v>
      </c>
      <c r="B706" s="1">
        <v>42767</v>
      </c>
      <c r="C706" s="2" t="s">
        <v>27</v>
      </c>
      <c r="D706">
        <v>3</v>
      </c>
      <c r="E706">
        <v>2</v>
      </c>
      <c r="F706">
        <v>157.37</v>
      </c>
      <c r="G706">
        <v>0.31218236544089134</v>
      </c>
      <c r="H706">
        <v>4.333333333333333</v>
      </c>
      <c r="I706">
        <v>0</v>
      </c>
    </row>
    <row r="707" spans="1:9">
      <c r="A707">
        <v>2017</v>
      </c>
      <c r="B707" s="1">
        <v>42795</v>
      </c>
      <c r="C707" s="2" t="s">
        <v>27</v>
      </c>
      <c r="D707">
        <v>14</v>
      </c>
      <c r="E707">
        <v>13</v>
      </c>
      <c r="F707">
        <v>1746.18</v>
      </c>
      <c r="G707">
        <v>0.19268354049379705</v>
      </c>
      <c r="H707">
        <v>4.5714285714285712</v>
      </c>
      <c r="I707">
        <v>0</v>
      </c>
    </row>
    <row r="708" spans="1:9">
      <c r="A708">
        <v>2017</v>
      </c>
      <c r="B708" s="1">
        <v>42826</v>
      </c>
      <c r="C708" s="2" t="s">
        <v>27</v>
      </c>
      <c r="D708">
        <v>23</v>
      </c>
      <c r="E708">
        <v>20</v>
      </c>
      <c r="F708">
        <v>1946.37</v>
      </c>
      <c r="G708">
        <v>0.25265088053516194</v>
      </c>
      <c r="H708">
        <v>4.6818181818181817</v>
      </c>
      <c r="I708">
        <v>0</v>
      </c>
    </row>
    <row r="709" spans="1:9">
      <c r="A709">
        <v>2017</v>
      </c>
      <c r="B709" s="1">
        <v>42856</v>
      </c>
      <c r="C709" s="2" t="s">
        <v>27</v>
      </c>
      <c r="D709">
        <v>22</v>
      </c>
      <c r="E709">
        <v>22</v>
      </c>
      <c r="F709">
        <v>2014.89</v>
      </c>
      <c r="G709">
        <v>0.25094780077957773</v>
      </c>
      <c r="H709">
        <v>4.2727272727272725</v>
      </c>
      <c r="I709">
        <v>0</v>
      </c>
    </row>
    <row r="710" spans="1:9">
      <c r="A710">
        <v>2017</v>
      </c>
      <c r="B710" s="1">
        <v>42887</v>
      </c>
      <c r="C710" s="2" t="s">
        <v>27</v>
      </c>
      <c r="D710">
        <v>20</v>
      </c>
      <c r="E710">
        <v>17</v>
      </c>
      <c r="F710">
        <v>1735.87</v>
      </c>
      <c r="G710">
        <v>0.26987700635937256</v>
      </c>
      <c r="H710">
        <v>3.3157894736842106</v>
      </c>
      <c r="I710">
        <v>0</v>
      </c>
    </row>
    <row r="711" spans="1:9">
      <c r="A711">
        <v>2017</v>
      </c>
      <c r="B711" s="1">
        <v>42917</v>
      </c>
      <c r="C711" s="2" t="s">
        <v>27</v>
      </c>
      <c r="D711">
        <v>20</v>
      </c>
      <c r="E711">
        <v>19</v>
      </c>
      <c r="F711">
        <v>1760.7</v>
      </c>
      <c r="G711">
        <v>0.2367692381596864</v>
      </c>
      <c r="H711">
        <v>4.3</v>
      </c>
      <c r="I711">
        <v>5.2631578947368418E-2</v>
      </c>
    </row>
    <row r="712" spans="1:9">
      <c r="A712">
        <v>2017</v>
      </c>
      <c r="B712" s="1">
        <v>42948</v>
      </c>
      <c r="C712" s="2" t="s">
        <v>27</v>
      </c>
      <c r="D712">
        <v>22</v>
      </c>
      <c r="E712">
        <v>18</v>
      </c>
      <c r="F712">
        <v>1856.37</v>
      </c>
      <c r="G712">
        <v>0.2388483722268894</v>
      </c>
      <c r="H712">
        <v>4.666666666666667</v>
      </c>
      <c r="I712">
        <v>0</v>
      </c>
    </row>
    <row r="713" spans="1:9">
      <c r="A713">
        <v>2017</v>
      </c>
      <c r="B713" s="1">
        <v>42979</v>
      </c>
      <c r="C713" s="2" t="s">
        <v>27</v>
      </c>
      <c r="D713">
        <v>14</v>
      </c>
      <c r="E713">
        <v>13</v>
      </c>
      <c r="F713">
        <v>1443.7</v>
      </c>
      <c r="G713">
        <v>0.20450543732640328</v>
      </c>
      <c r="H713">
        <v>4.0769230769230766</v>
      </c>
      <c r="I713">
        <v>7.6923076923076927E-2</v>
      </c>
    </row>
    <row r="714" spans="1:9">
      <c r="A714">
        <v>2017</v>
      </c>
      <c r="B714" s="1">
        <v>43009</v>
      </c>
      <c r="C714" s="2" t="s">
        <v>27</v>
      </c>
      <c r="D714">
        <v>18</v>
      </c>
      <c r="E714">
        <v>16</v>
      </c>
      <c r="F714">
        <v>2194.58</v>
      </c>
      <c r="G714">
        <v>0.18208847251531335</v>
      </c>
      <c r="H714">
        <v>4.2222222222222223</v>
      </c>
      <c r="I714">
        <v>6.25E-2</v>
      </c>
    </row>
    <row r="715" spans="1:9">
      <c r="A715">
        <v>2017</v>
      </c>
      <c r="B715" s="1">
        <v>43040</v>
      </c>
      <c r="C715" s="2" t="s">
        <v>27</v>
      </c>
      <c r="D715">
        <v>20</v>
      </c>
      <c r="E715">
        <v>18</v>
      </c>
      <c r="F715">
        <v>2111.77</v>
      </c>
      <c r="G715">
        <v>0.18159292124291093</v>
      </c>
      <c r="H715">
        <v>4.2105263157894735</v>
      </c>
      <c r="I715">
        <v>0.1111111111111111</v>
      </c>
    </row>
    <row r="716" spans="1:9">
      <c r="A716">
        <v>2017</v>
      </c>
      <c r="B716" s="1">
        <v>43070</v>
      </c>
      <c r="C716" s="2" t="s">
        <v>27</v>
      </c>
      <c r="D716">
        <v>14</v>
      </c>
      <c r="E716">
        <v>12</v>
      </c>
      <c r="F716">
        <v>1403.97</v>
      </c>
      <c r="G716">
        <v>0.17743628479835818</v>
      </c>
      <c r="H716">
        <v>4.2857142857142856</v>
      </c>
      <c r="I716">
        <v>0</v>
      </c>
    </row>
    <row r="717" spans="1:9">
      <c r="A717">
        <v>2018</v>
      </c>
      <c r="B717" s="1">
        <v>43101</v>
      </c>
      <c r="C717" s="2" t="s">
        <v>27</v>
      </c>
      <c r="D717">
        <v>9</v>
      </c>
      <c r="E717">
        <v>7</v>
      </c>
      <c r="F717">
        <v>822.31</v>
      </c>
      <c r="G717">
        <v>0.20102516105458282</v>
      </c>
      <c r="H717">
        <v>4.2222222222222223</v>
      </c>
      <c r="I717">
        <v>0.14285714285714285</v>
      </c>
    </row>
    <row r="718" spans="1:9">
      <c r="A718">
        <v>2018</v>
      </c>
      <c r="B718" s="1">
        <v>43132</v>
      </c>
      <c r="C718" s="2" t="s">
        <v>27</v>
      </c>
      <c r="D718">
        <v>11</v>
      </c>
      <c r="E718">
        <v>10</v>
      </c>
      <c r="F718">
        <v>1251.52</v>
      </c>
      <c r="G718">
        <v>0.20217376558747627</v>
      </c>
      <c r="H718">
        <v>3.9090909090909092</v>
      </c>
      <c r="I718">
        <v>0.2</v>
      </c>
    </row>
    <row r="719" spans="1:9">
      <c r="A719">
        <v>2018</v>
      </c>
      <c r="B719" s="1">
        <v>43160</v>
      </c>
      <c r="C719" s="2" t="s">
        <v>27</v>
      </c>
      <c r="D719">
        <v>12</v>
      </c>
      <c r="E719">
        <v>12</v>
      </c>
      <c r="F719">
        <v>1525.22</v>
      </c>
      <c r="G719">
        <v>0.20797668546281864</v>
      </c>
      <c r="H719">
        <v>3.25</v>
      </c>
      <c r="I719">
        <v>0.16666666666666666</v>
      </c>
    </row>
    <row r="720" spans="1:9">
      <c r="A720">
        <v>2018</v>
      </c>
      <c r="B720" s="1">
        <v>43191</v>
      </c>
      <c r="C720" s="2" t="s">
        <v>27</v>
      </c>
      <c r="D720">
        <v>11</v>
      </c>
      <c r="E720">
        <v>11</v>
      </c>
      <c r="F720">
        <v>1717.97</v>
      </c>
      <c r="G720">
        <v>0.1596801342275099</v>
      </c>
      <c r="H720">
        <v>4</v>
      </c>
      <c r="I720">
        <v>9.0909090909090912E-2</v>
      </c>
    </row>
    <row r="721" spans="1:9">
      <c r="A721">
        <v>2018</v>
      </c>
      <c r="B721" s="1">
        <v>43221</v>
      </c>
      <c r="C721" s="2" t="s">
        <v>27</v>
      </c>
      <c r="D721">
        <v>10</v>
      </c>
      <c r="E721">
        <v>10</v>
      </c>
      <c r="F721">
        <v>1788.57</v>
      </c>
      <c r="G721">
        <v>0.13162458780597941</v>
      </c>
      <c r="H721">
        <v>4.5</v>
      </c>
      <c r="I721">
        <v>0</v>
      </c>
    </row>
    <row r="722" spans="1:9">
      <c r="A722">
        <v>2018</v>
      </c>
      <c r="B722" s="1">
        <v>43252</v>
      </c>
      <c r="C722" s="2" t="s">
        <v>27</v>
      </c>
      <c r="D722">
        <v>10</v>
      </c>
      <c r="E722">
        <v>10</v>
      </c>
      <c r="F722">
        <v>1450.18</v>
      </c>
      <c r="G722">
        <v>0.16597198015749434</v>
      </c>
      <c r="H722">
        <v>4.5999999999999996</v>
      </c>
      <c r="I722">
        <v>0</v>
      </c>
    </row>
    <row r="723" spans="1:9">
      <c r="A723">
        <v>2018</v>
      </c>
      <c r="B723" s="1">
        <v>43282</v>
      </c>
      <c r="C723" s="2" t="s">
        <v>27</v>
      </c>
      <c r="D723">
        <v>5</v>
      </c>
      <c r="E723">
        <v>5</v>
      </c>
      <c r="F723">
        <v>985.44</v>
      </c>
      <c r="G723">
        <v>0.16699724343395694</v>
      </c>
      <c r="H723">
        <v>4.8</v>
      </c>
      <c r="I723">
        <v>0</v>
      </c>
    </row>
    <row r="724" spans="1:9">
      <c r="A724">
        <v>2018</v>
      </c>
      <c r="B724" s="1">
        <v>43313</v>
      </c>
      <c r="C724" s="2" t="s">
        <v>27</v>
      </c>
      <c r="D724">
        <v>3</v>
      </c>
      <c r="E724">
        <v>3</v>
      </c>
      <c r="F724">
        <v>577.21</v>
      </c>
      <c r="G724">
        <v>0.21254689213625028</v>
      </c>
      <c r="H724">
        <v>4.666666666666667</v>
      </c>
      <c r="I724">
        <v>0</v>
      </c>
    </row>
    <row r="725" spans="1:9">
      <c r="A725">
        <v>2017</v>
      </c>
      <c r="B725" s="1">
        <v>42736</v>
      </c>
      <c r="C725" s="2" t="s">
        <v>26</v>
      </c>
      <c r="D725">
        <v>1</v>
      </c>
      <c r="E725">
        <v>1</v>
      </c>
      <c r="F725">
        <v>159.11000000000001</v>
      </c>
      <c r="G725">
        <v>0.20243856451511533</v>
      </c>
      <c r="H725">
        <v>5</v>
      </c>
      <c r="I725">
        <v>0</v>
      </c>
    </row>
    <row r="726" spans="1:9">
      <c r="A726">
        <v>2017</v>
      </c>
      <c r="B726" s="1">
        <v>42767</v>
      </c>
      <c r="C726" s="2" t="s">
        <v>26</v>
      </c>
      <c r="D726">
        <v>7</v>
      </c>
      <c r="E726">
        <v>7</v>
      </c>
      <c r="F726">
        <v>763.02</v>
      </c>
      <c r="G726">
        <v>0.18340955136535236</v>
      </c>
      <c r="H726">
        <v>4.1428571428571432</v>
      </c>
      <c r="I726">
        <v>0</v>
      </c>
    </row>
    <row r="727" spans="1:9">
      <c r="A727">
        <v>2017</v>
      </c>
      <c r="B727" s="1">
        <v>42795</v>
      </c>
      <c r="C727" s="2" t="s">
        <v>26</v>
      </c>
      <c r="D727">
        <v>9</v>
      </c>
      <c r="E727">
        <v>7</v>
      </c>
      <c r="F727">
        <v>721.36</v>
      </c>
      <c r="G727">
        <v>0.26442298442378004</v>
      </c>
      <c r="H727">
        <v>4</v>
      </c>
      <c r="I727">
        <v>0</v>
      </c>
    </row>
    <row r="728" spans="1:9">
      <c r="A728">
        <v>2017</v>
      </c>
      <c r="B728" s="1">
        <v>42826</v>
      </c>
      <c r="C728" s="2" t="s">
        <v>26</v>
      </c>
      <c r="D728">
        <v>7</v>
      </c>
      <c r="E728">
        <v>6</v>
      </c>
      <c r="F728">
        <v>504.63</v>
      </c>
      <c r="G728">
        <v>0.24028422605819527</v>
      </c>
      <c r="H728">
        <v>3.4285714285714284</v>
      </c>
      <c r="I728">
        <v>0.16666666666666666</v>
      </c>
    </row>
    <row r="729" spans="1:9">
      <c r="A729">
        <v>2017</v>
      </c>
      <c r="B729" s="1">
        <v>42856</v>
      </c>
      <c r="C729" s="2" t="s">
        <v>26</v>
      </c>
      <c r="D729">
        <v>4</v>
      </c>
      <c r="E729">
        <v>3</v>
      </c>
      <c r="F729">
        <v>676.21</v>
      </c>
      <c r="G729">
        <v>0.10563537135878974</v>
      </c>
      <c r="H729">
        <v>2.5</v>
      </c>
      <c r="I729">
        <v>0</v>
      </c>
    </row>
    <row r="730" spans="1:9">
      <c r="A730">
        <v>2017</v>
      </c>
      <c r="B730" s="1">
        <v>42887</v>
      </c>
      <c r="C730" s="2" t="s">
        <v>26</v>
      </c>
      <c r="D730">
        <v>10</v>
      </c>
      <c r="E730">
        <v>8</v>
      </c>
      <c r="F730">
        <v>754.82</v>
      </c>
      <c r="G730">
        <v>0.23616515718655176</v>
      </c>
      <c r="H730">
        <v>3.7</v>
      </c>
      <c r="I730">
        <v>0</v>
      </c>
    </row>
    <row r="731" spans="1:9">
      <c r="A731">
        <v>2017</v>
      </c>
      <c r="B731" s="1">
        <v>42917</v>
      </c>
      <c r="C731" s="2" t="s">
        <v>26</v>
      </c>
      <c r="D731">
        <v>9</v>
      </c>
      <c r="E731">
        <v>8</v>
      </c>
      <c r="F731">
        <v>860.33</v>
      </c>
      <c r="G731">
        <v>0.19160184328717433</v>
      </c>
      <c r="H731">
        <v>4.333333333333333</v>
      </c>
      <c r="I731">
        <v>0</v>
      </c>
    </row>
    <row r="732" spans="1:9">
      <c r="A732">
        <v>2017</v>
      </c>
      <c r="B732" s="1">
        <v>42948</v>
      </c>
      <c r="C732" s="2" t="s">
        <v>26</v>
      </c>
      <c r="D732">
        <v>15</v>
      </c>
      <c r="E732">
        <v>13</v>
      </c>
      <c r="F732">
        <v>1444.32</v>
      </c>
      <c r="G732">
        <v>0.19400591743252152</v>
      </c>
      <c r="H732">
        <v>3.1333333333333333</v>
      </c>
      <c r="I732">
        <v>7.6923076923076927E-2</v>
      </c>
    </row>
    <row r="733" spans="1:9">
      <c r="A733">
        <v>2017</v>
      </c>
      <c r="B733" s="1">
        <v>42979</v>
      </c>
      <c r="C733" s="2" t="s">
        <v>26</v>
      </c>
      <c r="D733">
        <v>16</v>
      </c>
      <c r="E733">
        <v>10</v>
      </c>
      <c r="F733">
        <v>1388.19</v>
      </c>
      <c r="G733">
        <v>0.19000771131494107</v>
      </c>
      <c r="H733">
        <v>1.9375</v>
      </c>
      <c r="I733">
        <v>0.3</v>
      </c>
    </row>
    <row r="734" spans="1:9">
      <c r="A734">
        <v>2017</v>
      </c>
      <c r="B734" s="1">
        <v>43009</v>
      </c>
      <c r="C734" s="2" t="s">
        <v>26</v>
      </c>
      <c r="D734">
        <v>11</v>
      </c>
      <c r="E734">
        <v>9</v>
      </c>
      <c r="F734">
        <v>1201.3699999999999</v>
      </c>
      <c r="G734">
        <v>0.13904185426948312</v>
      </c>
      <c r="H734">
        <v>4.5454545454545459</v>
      </c>
      <c r="I734">
        <v>0</v>
      </c>
    </row>
    <row r="735" spans="1:9">
      <c r="A735">
        <v>2017</v>
      </c>
      <c r="B735" s="1">
        <v>43040</v>
      </c>
      <c r="C735" s="2" t="s">
        <v>26</v>
      </c>
      <c r="D735">
        <v>12</v>
      </c>
      <c r="E735">
        <v>11</v>
      </c>
      <c r="F735">
        <v>1098.46</v>
      </c>
      <c r="G735">
        <v>0.19818447307505874</v>
      </c>
      <c r="H735">
        <v>3.5</v>
      </c>
      <c r="I735">
        <v>9.0909090909090912E-2</v>
      </c>
    </row>
    <row r="736" spans="1:9">
      <c r="A736">
        <v>2017</v>
      </c>
      <c r="B736" s="1">
        <v>43070</v>
      </c>
      <c r="C736" s="2" t="s">
        <v>26</v>
      </c>
      <c r="D736">
        <v>4</v>
      </c>
      <c r="E736">
        <v>4</v>
      </c>
      <c r="F736">
        <v>532.14</v>
      </c>
      <c r="G736">
        <v>0.19689536059848309</v>
      </c>
      <c r="H736">
        <v>3.75</v>
      </c>
      <c r="I736">
        <v>0</v>
      </c>
    </row>
    <row r="737" spans="1:9">
      <c r="A737">
        <v>2018</v>
      </c>
      <c r="B737" s="1">
        <v>43101</v>
      </c>
      <c r="C737" s="2" t="s">
        <v>26</v>
      </c>
      <c r="D737">
        <v>6</v>
      </c>
      <c r="E737">
        <v>5</v>
      </c>
      <c r="F737">
        <v>662.17</v>
      </c>
      <c r="G737">
        <v>0.17896761813751405</v>
      </c>
      <c r="H737">
        <v>4</v>
      </c>
      <c r="I737">
        <v>0</v>
      </c>
    </row>
    <row r="738" spans="1:9">
      <c r="A738">
        <v>2018</v>
      </c>
      <c r="B738" s="1">
        <v>43132</v>
      </c>
      <c r="C738" s="2" t="s">
        <v>26</v>
      </c>
      <c r="D738">
        <v>3</v>
      </c>
      <c r="E738">
        <v>3</v>
      </c>
      <c r="F738">
        <v>446.86</v>
      </c>
      <c r="G738">
        <v>0.15273027935144087</v>
      </c>
      <c r="H738">
        <v>3</v>
      </c>
      <c r="I738">
        <v>0</v>
      </c>
    </row>
    <row r="739" spans="1:9">
      <c r="A739">
        <v>2018</v>
      </c>
      <c r="B739" s="1">
        <v>43191</v>
      </c>
      <c r="C739" s="2" t="s">
        <v>26</v>
      </c>
      <c r="D739">
        <v>1</v>
      </c>
      <c r="E739">
        <v>1</v>
      </c>
      <c r="F739">
        <v>234.42</v>
      </c>
      <c r="G739">
        <v>0.16815971333503968</v>
      </c>
      <c r="I739">
        <v>1</v>
      </c>
    </row>
    <row r="740" spans="1:9">
      <c r="A740">
        <v>2018</v>
      </c>
      <c r="B740" s="1">
        <v>43221</v>
      </c>
      <c r="C740" s="2" t="s">
        <v>26</v>
      </c>
      <c r="D740">
        <v>1</v>
      </c>
      <c r="E740">
        <v>1</v>
      </c>
      <c r="F740">
        <v>149.87</v>
      </c>
      <c r="G740">
        <v>0.13264829518916393</v>
      </c>
      <c r="H740">
        <v>5</v>
      </c>
      <c r="I740">
        <v>0</v>
      </c>
    </row>
    <row r="741" spans="1:9">
      <c r="A741">
        <v>2018</v>
      </c>
      <c r="B741" s="1">
        <v>43252</v>
      </c>
      <c r="C741" s="2" t="s">
        <v>26</v>
      </c>
      <c r="D741">
        <v>7</v>
      </c>
      <c r="E741">
        <v>6</v>
      </c>
      <c r="F741">
        <v>554.42999999999995</v>
      </c>
      <c r="G741">
        <v>0.21226403803141214</v>
      </c>
      <c r="H741">
        <v>4.8571428571428568</v>
      </c>
      <c r="I741">
        <v>0</v>
      </c>
    </row>
    <row r="742" spans="1:9">
      <c r="A742">
        <v>2018</v>
      </c>
      <c r="B742" s="1">
        <v>43282</v>
      </c>
      <c r="C742" s="2" t="s">
        <v>26</v>
      </c>
      <c r="D742">
        <v>5</v>
      </c>
      <c r="E742">
        <v>5</v>
      </c>
      <c r="F742">
        <v>295.68</v>
      </c>
      <c r="G742">
        <v>0.29735000090514774</v>
      </c>
      <c r="H742">
        <v>5</v>
      </c>
      <c r="I742">
        <v>0</v>
      </c>
    </row>
    <row r="743" spans="1:9">
      <c r="A743">
        <v>2018</v>
      </c>
      <c r="B743" s="1">
        <v>43313</v>
      </c>
      <c r="C743" s="2" t="s">
        <v>26</v>
      </c>
      <c r="D743">
        <v>3</v>
      </c>
      <c r="E743">
        <v>3</v>
      </c>
      <c r="F743">
        <v>466.98</v>
      </c>
      <c r="G743">
        <v>0.17030547550071132</v>
      </c>
      <c r="H743">
        <v>4.666666666666667</v>
      </c>
      <c r="I743">
        <v>0</v>
      </c>
    </row>
    <row r="744" spans="1:9">
      <c r="A744">
        <v>2017</v>
      </c>
      <c r="B744" s="1">
        <v>42856</v>
      </c>
      <c r="C744" s="2" t="s">
        <v>74</v>
      </c>
      <c r="D744">
        <v>1</v>
      </c>
      <c r="E744">
        <v>1</v>
      </c>
      <c r="F744">
        <v>124.52</v>
      </c>
      <c r="G744">
        <v>0.1166077738515901</v>
      </c>
      <c r="H744">
        <v>5</v>
      </c>
      <c r="I744">
        <v>0</v>
      </c>
    </row>
    <row r="745" spans="1:9">
      <c r="A745">
        <v>2017</v>
      </c>
      <c r="B745" s="1">
        <v>42887</v>
      </c>
      <c r="C745" s="2" t="s">
        <v>74</v>
      </c>
      <c r="D745">
        <v>1</v>
      </c>
      <c r="E745">
        <v>1</v>
      </c>
      <c r="F745">
        <v>118.96</v>
      </c>
      <c r="G745">
        <v>7.5319435104236721E-2</v>
      </c>
      <c r="H745">
        <v>5</v>
      </c>
      <c r="I745">
        <v>0</v>
      </c>
    </row>
    <row r="746" spans="1:9">
      <c r="A746">
        <v>2017</v>
      </c>
      <c r="B746" s="1">
        <v>42948</v>
      </c>
      <c r="C746" s="2" t="s">
        <v>74</v>
      </c>
      <c r="D746">
        <v>1</v>
      </c>
      <c r="E746">
        <v>1</v>
      </c>
      <c r="F746">
        <v>66.69</v>
      </c>
      <c r="G746">
        <v>0.25176188334083072</v>
      </c>
      <c r="H746">
        <v>1</v>
      </c>
      <c r="I746">
        <v>0</v>
      </c>
    </row>
    <row r="747" spans="1:9">
      <c r="A747">
        <v>2017</v>
      </c>
      <c r="B747" s="1">
        <v>42979</v>
      </c>
      <c r="C747" s="2" t="s">
        <v>74</v>
      </c>
      <c r="D747">
        <v>1</v>
      </c>
      <c r="E747">
        <v>1</v>
      </c>
      <c r="F747">
        <v>107.06</v>
      </c>
      <c r="G747">
        <v>0.15944330282084812</v>
      </c>
      <c r="H747">
        <v>5</v>
      </c>
      <c r="I747">
        <v>0</v>
      </c>
    </row>
    <row r="748" spans="1:9">
      <c r="A748">
        <v>2017</v>
      </c>
      <c r="B748" s="1">
        <v>43009</v>
      </c>
      <c r="C748" s="2" t="s">
        <v>74</v>
      </c>
      <c r="D748">
        <v>1</v>
      </c>
      <c r="E748">
        <v>1</v>
      </c>
      <c r="F748">
        <v>54.09</v>
      </c>
      <c r="G748">
        <v>0.26067665002773155</v>
      </c>
      <c r="H748">
        <v>5</v>
      </c>
      <c r="I748">
        <v>0</v>
      </c>
    </row>
    <row r="749" spans="1:9">
      <c r="A749">
        <v>2018</v>
      </c>
      <c r="B749" s="1">
        <v>43160</v>
      </c>
      <c r="C749" s="2" t="s">
        <v>74</v>
      </c>
      <c r="D749">
        <v>2</v>
      </c>
      <c r="E749">
        <v>2</v>
      </c>
      <c r="F749">
        <v>96.56</v>
      </c>
      <c r="G749">
        <v>0.17047553365011403</v>
      </c>
      <c r="H749">
        <v>5</v>
      </c>
      <c r="I749">
        <v>0</v>
      </c>
    </row>
    <row r="750" spans="1:9">
      <c r="A750">
        <v>2018</v>
      </c>
      <c r="B750" s="1">
        <v>43252</v>
      </c>
      <c r="C750" s="2" t="s">
        <v>74</v>
      </c>
      <c r="D750">
        <v>1</v>
      </c>
      <c r="E750">
        <v>1</v>
      </c>
      <c r="F750">
        <v>97.48</v>
      </c>
      <c r="G750">
        <v>7.6836274107509234E-2</v>
      </c>
      <c r="H750">
        <v>5</v>
      </c>
      <c r="I750">
        <v>0</v>
      </c>
    </row>
    <row r="751" spans="1:9">
      <c r="A751">
        <v>2017</v>
      </c>
      <c r="B751" s="1">
        <v>42736</v>
      </c>
      <c r="C751" s="2" t="s">
        <v>25</v>
      </c>
      <c r="D751">
        <v>35</v>
      </c>
      <c r="E751">
        <v>30</v>
      </c>
      <c r="F751">
        <v>2136.61</v>
      </c>
      <c r="G751">
        <v>0.29999459024694952</v>
      </c>
      <c r="H751">
        <v>4.3636363636363633</v>
      </c>
      <c r="I751">
        <v>3.3333333333333333E-2</v>
      </c>
    </row>
    <row r="752" spans="1:9">
      <c r="A752">
        <v>2017</v>
      </c>
      <c r="B752" s="1">
        <v>42767</v>
      </c>
      <c r="C752" s="2" t="s">
        <v>25</v>
      </c>
      <c r="D752">
        <v>40</v>
      </c>
      <c r="E752">
        <v>35</v>
      </c>
      <c r="F752">
        <v>2996.11</v>
      </c>
      <c r="G752">
        <v>0.23700901849079525</v>
      </c>
      <c r="H752">
        <v>4.1538461538461542</v>
      </c>
      <c r="I752">
        <v>0</v>
      </c>
    </row>
    <row r="753" spans="1:9">
      <c r="A753">
        <v>2017</v>
      </c>
      <c r="B753" s="1">
        <v>42795</v>
      </c>
      <c r="C753" s="2" t="s">
        <v>25</v>
      </c>
      <c r="D753">
        <v>68</v>
      </c>
      <c r="E753">
        <v>62</v>
      </c>
      <c r="F753">
        <v>5893.33</v>
      </c>
      <c r="G753">
        <v>0.2302667799613822</v>
      </c>
      <c r="H753">
        <v>4.3283582089552235</v>
      </c>
      <c r="I753">
        <v>3.2258064516129031E-2</v>
      </c>
    </row>
    <row r="754" spans="1:9">
      <c r="A754">
        <v>2017</v>
      </c>
      <c r="B754" s="1">
        <v>42826</v>
      </c>
      <c r="C754" s="2" t="s">
        <v>25</v>
      </c>
      <c r="D754">
        <v>50</v>
      </c>
      <c r="E754">
        <v>46</v>
      </c>
      <c r="F754">
        <v>3996.73</v>
      </c>
      <c r="G754">
        <v>0.24205873254530802</v>
      </c>
      <c r="H754">
        <v>4.12</v>
      </c>
      <c r="I754">
        <v>4.3478260869565216E-2</v>
      </c>
    </row>
    <row r="755" spans="1:9">
      <c r="A755">
        <v>2017</v>
      </c>
      <c r="B755" s="1">
        <v>42856</v>
      </c>
      <c r="C755" s="2" t="s">
        <v>25</v>
      </c>
      <c r="D755">
        <v>111</v>
      </c>
      <c r="E755">
        <v>97</v>
      </c>
      <c r="F755">
        <v>9224.98</v>
      </c>
      <c r="G755">
        <v>0.24889964930249805</v>
      </c>
      <c r="H755">
        <v>4.0925925925925926</v>
      </c>
      <c r="I755">
        <v>3.0927835051546393E-2</v>
      </c>
    </row>
    <row r="756" spans="1:9">
      <c r="A756">
        <v>2017</v>
      </c>
      <c r="B756" s="1">
        <v>42887</v>
      </c>
      <c r="C756" s="2" t="s">
        <v>25</v>
      </c>
      <c r="D756">
        <v>83</v>
      </c>
      <c r="E756">
        <v>77</v>
      </c>
      <c r="F756">
        <v>8134.62</v>
      </c>
      <c r="G756">
        <v>0.21463144972261292</v>
      </c>
      <c r="H756">
        <v>4.1111111111111107</v>
      </c>
      <c r="I756">
        <v>0</v>
      </c>
    </row>
    <row r="757" spans="1:9">
      <c r="A757">
        <v>2017</v>
      </c>
      <c r="B757" s="1">
        <v>42917</v>
      </c>
      <c r="C757" s="2" t="s">
        <v>25</v>
      </c>
      <c r="D757">
        <v>88</v>
      </c>
      <c r="E757">
        <v>82</v>
      </c>
      <c r="F757">
        <v>6467.55</v>
      </c>
      <c r="G757">
        <v>0.23598880464713654</v>
      </c>
      <c r="H757">
        <v>4.2272727272727275</v>
      </c>
      <c r="I757">
        <v>6.097560975609756E-2</v>
      </c>
    </row>
    <row r="758" spans="1:9">
      <c r="A758">
        <v>2017</v>
      </c>
      <c r="B758" s="1">
        <v>42948</v>
      </c>
      <c r="C758" s="2" t="s">
        <v>25</v>
      </c>
      <c r="D758">
        <v>99</v>
      </c>
      <c r="E758">
        <v>89</v>
      </c>
      <c r="F758">
        <v>8041.89</v>
      </c>
      <c r="G758">
        <v>0.22931719000976031</v>
      </c>
      <c r="H758">
        <v>4.2525252525252526</v>
      </c>
      <c r="I758">
        <v>1.1235955056179775E-2</v>
      </c>
    </row>
    <row r="759" spans="1:9">
      <c r="A759">
        <v>2017</v>
      </c>
      <c r="B759" s="1">
        <v>42979</v>
      </c>
      <c r="C759" s="2" t="s">
        <v>25</v>
      </c>
      <c r="D759">
        <v>125</v>
      </c>
      <c r="E759">
        <v>103</v>
      </c>
      <c r="F759">
        <v>14008.92</v>
      </c>
      <c r="G759">
        <v>0.21957826250351081</v>
      </c>
      <c r="H759">
        <v>4.1520000000000001</v>
      </c>
      <c r="I759">
        <v>2.9126213592233011E-2</v>
      </c>
    </row>
    <row r="760" spans="1:9">
      <c r="A760">
        <v>2017</v>
      </c>
      <c r="B760" s="1">
        <v>43009</v>
      </c>
      <c r="C760" s="2" t="s">
        <v>25</v>
      </c>
      <c r="D760">
        <v>110</v>
      </c>
      <c r="E760">
        <v>95</v>
      </c>
      <c r="F760">
        <v>9547.58</v>
      </c>
      <c r="G760">
        <v>0.21783907800614652</v>
      </c>
      <c r="H760">
        <v>4.0183486238532113</v>
      </c>
      <c r="I760">
        <v>1.0526315789473684E-2</v>
      </c>
    </row>
    <row r="761" spans="1:9">
      <c r="A761">
        <v>2017</v>
      </c>
      <c r="B761" s="1">
        <v>43040</v>
      </c>
      <c r="C761" s="2" t="s">
        <v>25</v>
      </c>
      <c r="D761">
        <v>201</v>
      </c>
      <c r="E761">
        <v>185</v>
      </c>
      <c r="F761">
        <v>16221.49</v>
      </c>
      <c r="G761">
        <v>0.23503291200451412</v>
      </c>
      <c r="H761">
        <v>3.5778894472361809</v>
      </c>
      <c r="I761">
        <v>0.12972972972972974</v>
      </c>
    </row>
    <row r="762" spans="1:9">
      <c r="A762">
        <v>2017</v>
      </c>
      <c r="B762" s="1">
        <v>43070</v>
      </c>
      <c r="C762" s="2" t="s">
        <v>25</v>
      </c>
      <c r="D762">
        <v>136</v>
      </c>
      <c r="E762">
        <v>124</v>
      </c>
      <c r="F762">
        <v>12130.97</v>
      </c>
      <c r="G762">
        <v>0.22226654808169641</v>
      </c>
      <c r="H762">
        <v>4.0666666666666664</v>
      </c>
      <c r="I762">
        <v>4.0322580645161289E-2</v>
      </c>
    </row>
    <row r="763" spans="1:9">
      <c r="A763">
        <v>2018</v>
      </c>
      <c r="B763" s="1">
        <v>43101</v>
      </c>
      <c r="C763" s="2" t="s">
        <v>25</v>
      </c>
      <c r="D763">
        <v>125</v>
      </c>
      <c r="E763">
        <v>116</v>
      </c>
      <c r="F763">
        <v>9849.0499999999993</v>
      </c>
      <c r="G763">
        <v>0.25033758073491175</v>
      </c>
      <c r="H763">
        <v>4.442622950819672</v>
      </c>
      <c r="I763">
        <v>7.7586206896551727E-2</v>
      </c>
    </row>
    <row r="764" spans="1:9">
      <c r="A764">
        <v>2018</v>
      </c>
      <c r="B764" s="1">
        <v>43132</v>
      </c>
      <c r="C764" s="2" t="s">
        <v>25</v>
      </c>
      <c r="D764">
        <v>107</v>
      </c>
      <c r="E764">
        <v>102</v>
      </c>
      <c r="F764">
        <v>11496.55</v>
      </c>
      <c r="G764">
        <v>0.22433589868939716</v>
      </c>
      <c r="H764">
        <v>4.1028037383177569</v>
      </c>
      <c r="I764">
        <v>5.8823529411764705E-2</v>
      </c>
    </row>
    <row r="765" spans="1:9">
      <c r="A765">
        <v>2018</v>
      </c>
      <c r="B765" s="1">
        <v>43160</v>
      </c>
      <c r="C765" s="2" t="s">
        <v>25</v>
      </c>
      <c r="D765">
        <v>140</v>
      </c>
      <c r="E765">
        <v>131</v>
      </c>
      <c r="F765">
        <v>12794.24</v>
      </c>
      <c r="G765">
        <v>0.26371767893824438</v>
      </c>
      <c r="H765">
        <v>3.8686131386861313</v>
      </c>
      <c r="I765">
        <v>0.23664122137404581</v>
      </c>
    </row>
    <row r="766" spans="1:9">
      <c r="A766">
        <v>2018</v>
      </c>
      <c r="B766" s="1">
        <v>43191</v>
      </c>
      <c r="C766" s="2" t="s">
        <v>25</v>
      </c>
      <c r="D766">
        <v>107</v>
      </c>
      <c r="E766">
        <v>96</v>
      </c>
      <c r="F766">
        <v>10945.34</v>
      </c>
      <c r="G766">
        <v>0.22382093130012101</v>
      </c>
      <c r="H766">
        <v>4.2745098039215685</v>
      </c>
      <c r="I766">
        <v>2.0833333333333332E-2</v>
      </c>
    </row>
    <row r="767" spans="1:9">
      <c r="A767">
        <v>2018</v>
      </c>
      <c r="B767" s="1">
        <v>43221</v>
      </c>
      <c r="C767" s="2" t="s">
        <v>25</v>
      </c>
      <c r="D767">
        <v>111</v>
      </c>
      <c r="E767">
        <v>105</v>
      </c>
      <c r="F767">
        <v>13192.27</v>
      </c>
      <c r="G767">
        <v>0.20077520807349719</v>
      </c>
      <c r="H767">
        <v>4.5377358490566042</v>
      </c>
      <c r="I767">
        <v>6.6666666666666666E-2</v>
      </c>
    </row>
    <row r="768" spans="1:9">
      <c r="A768">
        <v>2018</v>
      </c>
      <c r="B768" s="1">
        <v>43252</v>
      </c>
      <c r="C768" s="2" t="s">
        <v>25</v>
      </c>
      <c r="D768">
        <v>87</v>
      </c>
      <c r="E768">
        <v>82</v>
      </c>
      <c r="F768">
        <v>9388.36</v>
      </c>
      <c r="G768">
        <v>0.20912701797127695</v>
      </c>
      <c r="H768">
        <v>4.4767441860465116</v>
      </c>
      <c r="I768">
        <v>0</v>
      </c>
    </row>
    <row r="769" spans="1:9">
      <c r="A769">
        <v>2018</v>
      </c>
      <c r="B769" s="1">
        <v>43282</v>
      </c>
      <c r="C769" s="2" t="s">
        <v>25</v>
      </c>
      <c r="D769">
        <v>77</v>
      </c>
      <c r="E769">
        <v>76</v>
      </c>
      <c r="F769">
        <v>7418.12</v>
      </c>
      <c r="G769">
        <v>0.22170338878617168</v>
      </c>
      <c r="H769">
        <v>4.5584415584415581</v>
      </c>
      <c r="I769">
        <v>0</v>
      </c>
    </row>
    <row r="770" spans="1:9">
      <c r="A770">
        <v>2018</v>
      </c>
      <c r="B770" s="1">
        <v>43313</v>
      </c>
      <c r="C770" s="2" t="s">
        <v>25</v>
      </c>
      <c r="D770">
        <v>127</v>
      </c>
      <c r="E770">
        <v>122</v>
      </c>
      <c r="F770">
        <v>10035.75</v>
      </c>
      <c r="G770">
        <v>0.21451713327064964</v>
      </c>
      <c r="H770">
        <v>4.2160000000000002</v>
      </c>
      <c r="I770">
        <v>3.2786885245901641E-2</v>
      </c>
    </row>
    <row r="771" spans="1:9">
      <c r="A771">
        <v>2017</v>
      </c>
      <c r="B771" s="1">
        <v>42736</v>
      </c>
      <c r="C771" s="2" t="s">
        <v>24</v>
      </c>
      <c r="D771">
        <v>2</v>
      </c>
      <c r="E771">
        <v>2</v>
      </c>
      <c r="F771">
        <v>102.81</v>
      </c>
      <c r="G771">
        <v>0.26902020500230484</v>
      </c>
      <c r="H771">
        <v>4</v>
      </c>
      <c r="I771">
        <v>0</v>
      </c>
    </row>
    <row r="772" spans="1:9">
      <c r="A772">
        <v>2017</v>
      </c>
      <c r="B772" s="1">
        <v>42767</v>
      </c>
      <c r="C772" s="2" t="s">
        <v>24</v>
      </c>
      <c r="D772">
        <v>4</v>
      </c>
      <c r="E772">
        <v>4</v>
      </c>
      <c r="F772">
        <v>519.77</v>
      </c>
      <c r="G772">
        <v>0.11833902958357813</v>
      </c>
      <c r="H772">
        <v>3</v>
      </c>
      <c r="I772">
        <v>0</v>
      </c>
    </row>
    <row r="773" spans="1:9">
      <c r="A773">
        <v>2017</v>
      </c>
      <c r="B773" s="1">
        <v>42795</v>
      </c>
      <c r="C773" s="2" t="s">
        <v>24</v>
      </c>
      <c r="D773">
        <v>1</v>
      </c>
      <c r="E773">
        <v>1</v>
      </c>
      <c r="F773">
        <v>30.86</v>
      </c>
      <c r="G773">
        <v>0.35515230071289694</v>
      </c>
      <c r="H773">
        <v>3</v>
      </c>
      <c r="I773">
        <v>0</v>
      </c>
    </row>
    <row r="774" spans="1:9">
      <c r="A774">
        <v>2017</v>
      </c>
      <c r="B774" s="1">
        <v>42826</v>
      </c>
      <c r="C774" s="2" t="s">
        <v>24</v>
      </c>
      <c r="D774">
        <v>1</v>
      </c>
      <c r="E774">
        <v>1</v>
      </c>
      <c r="F774">
        <v>87.74</v>
      </c>
      <c r="G774">
        <v>0.26031456576248008</v>
      </c>
      <c r="H774">
        <v>2</v>
      </c>
      <c r="I774">
        <v>0</v>
      </c>
    </row>
    <row r="775" spans="1:9">
      <c r="A775">
        <v>2017</v>
      </c>
      <c r="B775" s="1">
        <v>42856</v>
      </c>
      <c r="C775" s="2" t="s">
        <v>24</v>
      </c>
      <c r="D775">
        <v>5</v>
      </c>
      <c r="E775">
        <v>5</v>
      </c>
      <c r="F775">
        <v>485.63</v>
      </c>
      <c r="G775">
        <v>0.15992142683963875</v>
      </c>
      <c r="H775">
        <v>3.4</v>
      </c>
      <c r="I775">
        <v>0</v>
      </c>
    </row>
    <row r="776" spans="1:9">
      <c r="A776">
        <v>2017</v>
      </c>
      <c r="B776" s="1">
        <v>42887</v>
      </c>
      <c r="C776" s="2" t="s">
        <v>24</v>
      </c>
      <c r="D776">
        <v>3</v>
      </c>
      <c r="E776">
        <v>3</v>
      </c>
      <c r="F776">
        <v>199.3</v>
      </c>
      <c r="G776">
        <v>0.24694248086049481</v>
      </c>
      <c r="H776">
        <v>3.6666666666666665</v>
      </c>
      <c r="I776">
        <v>0</v>
      </c>
    </row>
    <row r="777" spans="1:9">
      <c r="A777">
        <v>2017</v>
      </c>
      <c r="B777" s="1">
        <v>42917</v>
      </c>
      <c r="C777" s="2" t="s">
        <v>24</v>
      </c>
      <c r="D777">
        <v>5</v>
      </c>
      <c r="E777">
        <v>4</v>
      </c>
      <c r="F777">
        <v>443.1</v>
      </c>
      <c r="G777">
        <v>0.1558455805985216</v>
      </c>
      <c r="H777">
        <v>4.2</v>
      </c>
      <c r="I777">
        <v>0</v>
      </c>
    </row>
    <row r="778" spans="1:9">
      <c r="A778">
        <v>2017</v>
      </c>
      <c r="B778" s="1">
        <v>42948</v>
      </c>
      <c r="C778" s="2" t="s">
        <v>24</v>
      </c>
      <c r="D778">
        <v>4</v>
      </c>
      <c r="E778">
        <v>4</v>
      </c>
      <c r="F778">
        <v>235.65</v>
      </c>
      <c r="G778">
        <v>0.22795321065956839</v>
      </c>
      <c r="H778">
        <v>4.25</v>
      </c>
      <c r="I778">
        <v>0</v>
      </c>
    </row>
    <row r="779" spans="1:9">
      <c r="A779">
        <v>2017</v>
      </c>
      <c r="B779" s="1">
        <v>42979</v>
      </c>
      <c r="C779" s="2" t="s">
        <v>24</v>
      </c>
      <c r="D779">
        <v>4</v>
      </c>
      <c r="E779">
        <v>3</v>
      </c>
      <c r="F779">
        <v>430.31</v>
      </c>
      <c r="G779">
        <v>0.21982957681586121</v>
      </c>
      <c r="H779">
        <v>4.25</v>
      </c>
      <c r="I779">
        <v>1</v>
      </c>
    </row>
    <row r="780" spans="1:9">
      <c r="A780">
        <v>2017</v>
      </c>
      <c r="B780" s="1">
        <v>43040</v>
      </c>
      <c r="C780" s="2" t="s">
        <v>24</v>
      </c>
      <c r="D780">
        <v>3</v>
      </c>
      <c r="E780">
        <v>3</v>
      </c>
      <c r="F780">
        <v>115.92</v>
      </c>
      <c r="G780">
        <v>0.31357130857866089</v>
      </c>
      <c r="H780">
        <v>2</v>
      </c>
      <c r="I780">
        <v>0</v>
      </c>
    </row>
    <row r="781" spans="1:9">
      <c r="A781">
        <v>2018</v>
      </c>
      <c r="B781" s="1">
        <v>43101</v>
      </c>
      <c r="C781" s="2" t="s">
        <v>24</v>
      </c>
      <c r="D781">
        <v>3</v>
      </c>
      <c r="E781">
        <v>3</v>
      </c>
      <c r="F781">
        <v>196.48</v>
      </c>
      <c r="G781">
        <v>0.18596189703285693</v>
      </c>
      <c r="H781">
        <v>5</v>
      </c>
      <c r="I781">
        <v>0</v>
      </c>
    </row>
    <row r="782" spans="1:9">
      <c r="A782">
        <v>2018</v>
      </c>
      <c r="B782" s="1">
        <v>43132</v>
      </c>
      <c r="C782" s="2" t="s">
        <v>24</v>
      </c>
      <c r="D782">
        <v>1</v>
      </c>
      <c r="E782">
        <v>1</v>
      </c>
      <c r="F782">
        <v>45.09</v>
      </c>
      <c r="G782">
        <v>0.3348857839875804</v>
      </c>
      <c r="H782">
        <v>4</v>
      </c>
      <c r="I782">
        <v>0</v>
      </c>
    </row>
    <row r="783" spans="1:9">
      <c r="A783">
        <v>2018</v>
      </c>
      <c r="B783" s="1">
        <v>43160</v>
      </c>
      <c r="C783" s="2" t="s">
        <v>24</v>
      </c>
      <c r="D783">
        <v>4</v>
      </c>
      <c r="E783">
        <v>1</v>
      </c>
      <c r="F783">
        <v>154.52000000000001</v>
      </c>
      <c r="G783">
        <v>0.223660367589956</v>
      </c>
      <c r="H783">
        <v>4</v>
      </c>
      <c r="I783">
        <v>0</v>
      </c>
    </row>
    <row r="784" spans="1:9">
      <c r="A784">
        <v>2018</v>
      </c>
      <c r="B784" s="1">
        <v>43191</v>
      </c>
      <c r="C784" s="2" t="s">
        <v>24</v>
      </c>
      <c r="D784">
        <v>5</v>
      </c>
      <c r="E784">
        <v>1</v>
      </c>
      <c r="F784">
        <v>218.15</v>
      </c>
      <c r="G784">
        <v>0.19802887921155168</v>
      </c>
      <c r="H784">
        <v>4</v>
      </c>
      <c r="I784">
        <v>0</v>
      </c>
    </row>
    <row r="785" spans="1:9">
      <c r="A785">
        <v>2018</v>
      </c>
      <c r="B785" s="1">
        <v>43313</v>
      </c>
      <c r="C785" s="2" t="s">
        <v>24</v>
      </c>
      <c r="D785">
        <v>3</v>
      </c>
      <c r="E785">
        <v>2</v>
      </c>
      <c r="F785">
        <v>169.13</v>
      </c>
      <c r="G785">
        <v>0.2306314965970005</v>
      </c>
      <c r="H785">
        <v>3.6666666666666665</v>
      </c>
      <c r="I785">
        <v>0</v>
      </c>
    </row>
    <row r="786" spans="1:9">
      <c r="A786">
        <v>2017</v>
      </c>
      <c r="B786" s="1">
        <v>42736</v>
      </c>
      <c r="C786" s="2" t="s">
        <v>23</v>
      </c>
      <c r="D786">
        <v>11</v>
      </c>
      <c r="E786">
        <v>11</v>
      </c>
      <c r="F786">
        <v>772.43</v>
      </c>
      <c r="G786">
        <v>0.28153365510397577</v>
      </c>
      <c r="H786">
        <v>3.8181818181818183</v>
      </c>
      <c r="I786">
        <v>9.0909090909090912E-2</v>
      </c>
    </row>
    <row r="787" spans="1:9">
      <c r="A787">
        <v>2017</v>
      </c>
      <c r="B787" s="1">
        <v>42767</v>
      </c>
      <c r="C787" s="2" t="s">
        <v>23</v>
      </c>
      <c r="D787">
        <v>19</v>
      </c>
      <c r="E787">
        <v>14</v>
      </c>
      <c r="F787">
        <v>1555.5</v>
      </c>
      <c r="G787">
        <v>0.33069735444226628</v>
      </c>
      <c r="H787">
        <v>4.2105263157894735</v>
      </c>
      <c r="I787">
        <v>0</v>
      </c>
    </row>
    <row r="788" spans="1:9">
      <c r="A788">
        <v>2017</v>
      </c>
      <c r="B788" s="1">
        <v>42795</v>
      </c>
      <c r="C788" s="2" t="s">
        <v>23</v>
      </c>
      <c r="D788">
        <v>37</v>
      </c>
      <c r="E788">
        <v>32</v>
      </c>
      <c r="F788">
        <v>4655.16</v>
      </c>
      <c r="G788">
        <v>0.23855171054942403</v>
      </c>
      <c r="H788">
        <v>4.3513513513513518</v>
      </c>
      <c r="I788">
        <v>6.25E-2</v>
      </c>
    </row>
    <row r="789" spans="1:9">
      <c r="A789">
        <v>2017</v>
      </c>
      <c r="B789" s="1">
        <v>42826</v>
      </c>
      <c r="C789" s="2" t="s">
        <v>23</v>
      </c>
      <c r="D789">
        <v>48</v>
      </c>
      <c r="E789">
        <v>47</v>
      </c>
      <c r="F789">
        <v>5611.49</v>
      </c>
      <c r="G789">
        <v>0.25999492374319561</v>
      </c>
      <c r="H789">
        <v>4.166666666666667</v>
      </c>
      <c r="I789">
        <v>0.10638297872340426</v>
      </c>
    </row>
    <row r="790" spans="1:9">
      <c r="A790">
        <v>2017</v>
      </c>
      <c r="B790" s="1">
        <v>42856</v>
      </c>
      <c r="C790" s="2" t="s">
        <v>23</v>
      </c>
      <c r="D790">
        <v>68</v>
      </c>
      <c r="E790">
        <v>62</v>
      </c>
      <c r="F790">
        <v>7958.75</v>
      </c>
      <c r="G790">
        <v>0.28183399432780831</v>
      </c>
      <c r="H790">
        <v>3.7910447761194028</v>
      </c>
      <c r="I790">
        <v>4.8387096774193547E-2</v>
      </c>
    </row>
    <row r="791" spans="1:9">
      <c r="A791">
        <v>2017</v>
      </c>
      <c r="B791" s="1">
        <v>42887</v>
      </c>
      <c r="C791" s="2" t="s">
        <v>23</v>
      </c>
      <c r="D791">
        <v>42</v>
      </c>
      <c r="E791">
        <v>40</v>
      </c>
      <c r="F791">
        <v>2725.04</v>
      </c>
      <c r="G791">
        <v>0.32223152956062345</v>
      </c>
      <c r="H791">
        <v>4.1463414634146343</v>
      </c>
      <c r="I791">
        <v>2.5000000000000001E-2</v>
      </c>
    </row>
    <row r="792" spans="1:9">
      <c r="A792">
        <v>2017</v>
      </c>
      <c r="B792" s="1">
        <v>42917</v>
      </c>
      <c r="C792" s="2" t="s">
        <v>23</v>
      </c>
      <c r="D792">
        <v>97</v>
      </c>
      <c r="E792">
        <v>87</v>
      </c>
      <c r="F792">
        <v>9103.81</v>
      </c>
      <c r="G792">
        <v>0.32041268276544771</v>
      </c>
      <c r="H792">
        <v>4.2659574468085104</v>
      </c>
      <c r="I792">
        <v>0</v>
      </c>
    </row>
    <row r="793" spans="1:9">
      <c r="A793">
        <v>2017</v>
      </c>
      <c r="B793" s="1">
        <v>42948</v>
      </c>
      <c r="C793" s="2" t="s">
        <v>23</v>
      </c>
      <c r="D793">
        <v>56</v>
      </c>
      <c r="E793">
        <v>52</v>
      </c>
      <c r="F793">
        <v>3765.86</v>
      </c>
      <c r="G793">
        <v>0.36069060901012184</v>
      </c>
      <c r="H793">
        <v>3.9056603773584908</v>
      </c>
      <c r="I793">
        <v>1.9230769230769232E-2</v>
      </c>
    </row>
    <row r="794" spans="1:9">
      <c r="A794">
        <v>2017</v>
      </c>
      <c r="B794" s="1">
        <v>42979</v>
      </c>
      <c r="C794" s="2" t="s">
        <v>23</v>
      </c>
      <c r="D794">
        <v>67</v>
      </c>
      <c r="E794">
        <v>65</v>
      </c>
      <c r="F794">
        <v>5557.35</v>
      </c>
      <c r="G794">
        <v>0.3164750121242102</v>
      </c>
      <c r="H794">
        <v>4.166666666666667</v>
      </c>
      <c r="I794">
        <v>4.6153846153846156E-2</v>
      </c>
    </row>
    <row r="795" spans="1:9">
      <c r="A795">
        <v>2017</v>
      </c>
      <c r="B795" s="1">
        <v>43009</v>
      </c>
      <c r="C795" s="2" t="s">
        <v>23</v>
      </c>
      <c r="D795">
        <v>63</v>
      </c>
      <c r="E795">
        <v>56</v>
      </c>
      <c r="F795">
        <v>4563.16</v>
      </c>
      <c r="G795">
        <v>0.31073274392708333</v>
      </c>
      <c r="H795">
        <v>3.9365079365079363</v>
      </c>
      <c r="I795">
        <v>7.1428571428571425E-2</v>
      </c>
    </row>
    <row r="796" spans="1:9">
      <c r="A796">
        <v>2017</v>
      </c>
      <c r="B796" s="1">
        <v>43040</v>
      </c>
      <c r="C796" s="2" t="s">
        <v>23</v>
      </c>
      <c r="D796">
        <v>184</v>
      </c>
      <c r="E796">
        <v>165</v>
      </c>
      <c r="F796">
        <v>12947.72</v>
      </c>
      <c r="G796">
        <v>0.34597431182593702</v>
      </c>
      <c r="H796">
        <v>3.9673913043478262</v>
      </c>
      <c r="I796">
        <v>0.14545454545454545</v>
      </c>
    </row>
    <row r="797" spans="1:9">
      <c r="A797">
        <v>2017</v>
      </c>
      <c r="B797" s="1">
        <v>43070</v>
      </c>
      <c r="C797" s="2" t="s">
        <v>23</v>
      </c>
      <c r="D797">
        <v>210</v>
      </c>
      <c r="E797">
        <v>190</v>
      </c>
      <c r="F797">
        <v>11995.77</v>
      </c>
      <c r="G797">
        <v>0.39830808467119089</v>
      </c>
      <c r="H797">
        <v>4.0047619047619047</v>
      </c>
      <c r="I797">
        <v>6.8421052631578952E-2</v>
      </c>
    </row>
    <row r="798" spans="1:9">
      <c r="A798">
        <v>2018</v>
      </c>
      <c r="B798" s="1">
        <v>43101</v>
      </c>
      <c r="C798" s="2" t="s">
        <v>23</v>
      </c>
      <c r="D798">
        <v>351</v>
      </c>
      <c r="E798">
        <v>322</v>
      </c>
      <c r="F798">
        <v>21654.55</v>
      </c>
      <c r="G798">
        <v>0.3791149694385143</v>
      </c>
      <c r="H798">
        <v>3.9339080459770117</v>
      </c>
      <c r="I798">
        <v>5.5900621118012424E-2</v>
      </c>
    </row>
    <row r="799" spans="1:9">
      <c r="A799">
        <v>2018</v>
      </c>
      <c r="B799" s="1">
        <v>43132</v>
      </c>
      <c r="C799" s="2" t="s">
        <v>23</v>
      </c>
      <c r="D799">
        <v>332</v>
      </c>
      <c r="E799">
        <v>301</v>
      </c>
      <c r="F799">
        <v>20095.740000000002</v>
      </c>
      <c r="G799">
        <v>0.38763986116721039</v>
      </c>
      <c r="H799">
        <v>3.8571428571428572</v>
      </c>
      <c r="I799">
        <v>0.18604651162790697</v>
      </c>
    </row>
    <row r="800" spans="1:9">
      <c r="A800">
        <v>2018</v>
      </c>
      <c r="B800" s="1">
        <v>43160</v>
      </c>
      <c r="C800" s="2" t="s">
        <v>23</v>
      </c>
      <c r="D800">
        <v>261</v>
      </c>
      <c r="E800">
        <v>244</v>
      </c>
      <c r="F800">
        <v>16951.12</v>
      </c>
      <c r="G800">
        <v>0.39855058349955863</v>
      </c>
      <c r="H800">
        <v>3.7586206896551726</v>
      </c>
      <c r="I800">
        <v>0.20081967213114754</v>
      </c>
    </row>
    <row r="801" spans="1:9">
      <c r="A801">
        <v>2018</v>
      </c>
      <c r="B801" s="1">
        <v>43191</v>
      </c>
      <c r="C801" s="2" t="s">
        <v>23</v>
      </c>
      <c r="D801">
        <v>214</v>
      </c>
      <c r="E801">
        <v>203</v>
      </c>
      <c r="F801">
        <v>14750.55</v>
      </c>
      <c r="G801">
        <v>0.40226124450153361</v>
      </c>
      <c r="H801">
        <v>4.075117370892019</v>
      </c>
      <c r="I801">
        <v>4.9261083743842367E-2</v>
      </c>
    </row>
    <row r="802" spans="1:9">
      <c r="A802">
        <v>2018</v>
      </c>
      <c r="B802" s="1">
        <v>43221</v>
      </c>
      <c r="C802" s="2" t="s">
        <v>23</v>
      </c>
      <c r="D802">
        <v>235</v>
      </c>
      <c r="E802">
        <v>223</v>
      </c>
      <c r="F802">
        <v>21087.72</v>
      </c>
      <c r="G802">
        <v>0.3508597524421212</v>
      </c>
      <c r="H802">
        <v>4.3103448275862073</v>
      </c>
      <c r="I802">
        <v>3.5874439461883408E-2</v>
      </c>
    </row>
    <row r="803" spans="1:9">
      <c r="A803">
        <v>2018</v>
      </c>
      <c r="B803" s="1">
        <v>43252</v>
      </c>
      <c r="C803" s="2" t="s">
        <v>23</v>
      </c>
      <c r="D803">
        <v>191</v>
      </c>
      <c r="E803">
        <v>174</v>
      </c>
      <c r="F803">
        <v>12946.08</v>
      </c>
      <c r="G803">
        <v>0.3648444766427521</v>
      </c>
      <c r="H803">
        <v>4.4240837696335076</v>
      </c>
      <c r="I803">
        <v>1.1494252873563218E-2</v>
      </c>
    </row>
    <row r="804" spans="1:9">
      <c r="A804">
        <v>2018</v>
      </c>
      <c r="B804" s="1">
        <v>43282</v>
      </c>
      <c r="C804" s="2" t="s">
        <v>23</v>
      </c>
      <c r="D804">
        <v>159</v>
      </c>
      <c r="E804">
        <v>145</v>
      </c>
      <c r="F804">
        <v>13812.32</v>
      </c>
      <c r="G804">
        <v>0.31079417462517217</v>
      </c>
      <c r="H804">
        <v>4.1146496815286628</v>
      </c>
      <c r="I804">
        <v>6.8965517241379309E-3</v>
      </c>
    </row>
    <row r="805" spans="1:9">
      <c r="A805">
        <v>2018</v>
      </c>
      <c r="B805" s="1">
        <v>43313</v>
      </c>
      <c r="C805" s="2" t="s">
        <v>23</v>
      </c>
      <c r="D805">
        <v>120</v>
      </c>
      <c r="E805">
        <v>115</v>
      </c>
      <c r="F805">
        <v>12967.37</v>
      </c>
      <c r="G805">
        <v>0.28738550925690298</v>
      </c>
      <c r="H805">
        <v>4.151260504201681</v>
      </c>
      <c r="I805">
        <v>5.2173913043478258E-2</v>
      </c>
    </row>
    <row r="806" spans="1:9">
      <c r="A806">
        <v>2017</v>
      </c>
      <c r="B806" s="1">
        <v>42736</v>
      </c>
      <c r="C806" s="2" t="s">
        <v>43</v>
      </c>
      <c r="D806">
        <v>2</v>
      </c>
      <c r="E806">
        <v>1</v>
      </c>
      <c r="F806">
        <v>47.8</v>
      </c>
      <c r="G806">
        <v>0.37656903765690375</v>
      </c>
      <c r="H806">
        <v>5</v>
      </c>
      <c r="I806">
        <v>0</v>
      </c>
    </row>
    <row r="807" spans="1:9">
      <c r="A807">
        <v>2017</v>
      </c>
      <c r="B807" s="1">
        <v>42767</v>
      </c>
      <c r="C807" s="2" t="s">
        <v>43</v>
      </c>
      <c r="D807">
        <v>1</v>
      </c>
      <c r="E807">
        <v>1</v>
      </c>
      <c r="F807">
        <v>35.700000000000003</v>
      </c>
      <c r="G807">
        <v>0.58263305322128855</v>
      </c>
      <c r="H807">
        <v>4</v>
      </c>
      <c r="I807">
        <v>0</v>
      </c>
    </row>
    <row r="808" spans="1:9">
      <c r="A808">
        <v>2017</v>
      </c>
      <c r="B808" s="1">
        <v>42795</v>
      </c>
      <c r="C808" s="2" t="s">
        <v>43</v>
      </c>
      <c r="D808">
        <v>5</v>
      </c>
      <c r="E808">
        <v>4</v>
      </c>
      <c r="F808">
        <v>1963.43</v>
      </c>
      <c r="G808">
        <v>0.33747591773995977</v>
      </c>
      <c r="H808">
        <v>3.2</v>
      </c>
      <c r="I808">
        <v>0</v>
      </c>
    </row>
    <row r="809" spans="1:9">
      <c r="A809">
        <v>2017</v>
      </c>
      <c r="B809" s="1">
        <v>42826</v>
      </c>
      <c r="C809" s="2" t="s">
        <v>43</v>
      </c>
      <c r="D809">
        <v>2</v>
      </c>
      <c r="E809">
        <v>2</v>
      </c>
      <c r="F809">
        <v>1466.34</v>
      </c>
      <c r="G809">
        <v>0.26322871889081734</v>
      </c>
      <c r="H809">
        <v>5</v>
      </c>
      <c r="I809">
        <v>0</v>
      </c>
    </row>
    <row r="810" spans="1:9">
      <c r="A810">
        <v>2017</v>
      </c>
      <c r="B810" s="1">
        <v>42856</v>
      </c>
      <c r="C810" s="2" t="s">
        <v>43</v>
      </c>
      <c r="D810">
        <v>4</v>
      </c>
      <c r="E810">
        <v>4</v>
      </c>
      <c r="F810">
        <v>150.6</v>
      </c>
      <c r="G810">
        <v>0.39999453300053966</v>
      </c>
      <c r="H810">
        <v>4.75</v>
      </c>
      <c r="I810">
        <v>0</v>
      </c>
    </row>
    <row r="811" spans="1:9">
      <c r="A811">
        <v>2017</v>
      </c>
      <c r="B811" s="1">
        <v>42887</v>
      </c>
      <c r="C811" s="2" t="s">
        <v>43</v>
      </c>
      <c r="D811">
        <v>4</v>
      </c>
      <c r="E811">
        <v>4</v>
      </c>
      <c r="F811">
        <v>199.74</v>
      </c>
      <c r="G811">
        <v>0.41155930496660903</v>
      </c>
      <c r="H811">
        <v>4.75</v>
      </c>
      <c r="I811">
        <v>0</v>
      </c>
    </row>
    <row r="812" spans="1:9">
      <c r="A812">
        <v>2017</v>
      </c>
      <c r="B812" s="1">
        <v>42917</v>
      </c>
      <c r="C812" s="2" t="s">
        <v>43</v>
      </c>
      <c r="D812">
        <v>4</v>
      </c>
      <c r="E812">
        <v>4</v>
      </c>
      <c r="F812">
        <v>830.99</v>
      </c>
      <c r="G812">
        <v>0.41252984079766231</v>
      </c>
      <c r="H812">
        <v>3.3333333333333335</v>
      </c>
      <c r="I812">
        <v>0</v>
      </c>
    </row>
    <row r="813" spans="1:9">
      <c r="A813">
        <v>2017</v>
      </c>
      <c r="B813" s="1">
        <v>42948</v>
      </c>
      <c r="C813" s="2" t="s">
        <v>43</v>
      </c>
      <c r="D813">
        <v>6</v>
      </c>
      <c r="E813">
        <v>6</v>
      </c>
      <c r="F813">
        <v>231.83</v>
      </c>
      <c r="G813">
        <v>0.50357799767245104</v>
      </c>
      <c r="H813">
        <v>2.8333333333333335</v>
      </c>
      <c r="I813">
        <v>0.33333333333333331</v>
      </c>
    </row>
    <row r="814" spans="1:9">
      <c r="A814">
        <v>2017</v>
      </c>
      <c r="B814" s="1">
        <v>42979</v>
      </c>
      <c r="C814" s="2" t="s">
        <v>43</v>
      </c>
      <c r="D814">
        <v>2</v>
      </c>
      <c r="E814">
        <v>2</v>
      </c>
      <c r="F814">
        <v>91.06</v>
      </c>
      <c r="G814">
        <v>0.56292554359762792</v>
      </c>
      <c r="H814">
        <v>4.5</v>
      </c>
      <c r="I814">
        <v>0</v>
      </c>
    </row>
    <row r="815" spans="1:9">
      <c r="A815">
        <v>2017</v>
      </c>
      <c r="B815" s="1">
        <v>43009</v>
      </c>
      <c r="C815" s="2" t="s">
        <v>43</v>
      </c>
      <c r="D815">
        <v>5</v>
      </c>
      <c r="E815">
        <v>5</v>
      </c>
      <c r="F815">
        <v>314.63</v>
      </c>
      <c r="G815">
        <v>0.44929604541469165</v>
      </c>
      <c r="H815">
        <v>4.2</v>
      </c>
      <c r="I815">
        <v>0</v>
      </c>
    </row>
    <row r="816" spans="1:9">
      <c r="A816">
        <v>2017</v>
      </c>
      <c r="B816" s="1">
        <v>43040</v>
      </c>
      <c r="C816" s="2" t="s">
        <v>43</v>
      </c>
      <c r="D816">
        <v>3</v>
      </c>
      <c r="E816">
        <v>3</v>
      </c>
      <c r="F816">
        <v>145.66999999999999</v>
      </c>
      <c r="G816">
        <v>0.45408552133940555</v>
      </c>
      <c r="H816">
        <v>3.6666666666666665</v>
      </c>
      <c r="I816">
        <v>0.33333333333333331</v>
      </c>
    </row>
    <row r="817" spans="1:9">
      <c r="A817">
        <v>2017</v>
      </c>
      <c r="B817" s="1">
        <v>43070</v>
      </c>
      <c r="C817" s="2" t="s">
        <v>43</v>
      </c>
      <c r="D817">
        <v>1</v>
      </c>
      <c r="E817">
        <v>1</v>
      </c>
      <c r="F817">
        <v>135.49</v>
      </c>
      <c r="G817">
        <v>0.11506384234998893</v>
      </c>
      <c r="H817">
        <v>4</v>
      </c>
      <c r="I817">
        <v>0</v>
      </c>
    </row>
    <row r="818" spans="1:9">
      <c r="A818">
        <v>2018</v>
      </c>
      <c r="B818" s="1">
        <v>43101</v>
      </c>
      <c r="C818" s="2" t="s">
        <v>43</v>
      </c>
      <c r="D818">
        <v>2</v>
      </c>
      <c r="E818">
        <v>2</v>
      </c>
      <c r="F818">
        <v>96.58</v>
      </c>
      <c r="G818">
        <v>0.48325340962346358</v>
      </c>
      <c r="H818">
        <v>5</v>
      </c>
      <c r="I818">
        <v>0</v>
      </c>
    </row>
    <row r="819" spans="1:9">
      <c r="A819">
        <v>2018</v>
      </c>
      <c r="B819" s="1">
        <v>43132</v>
      </c>
      <c r="C819" s="2" t="s">
        <v>43</v>
      </c>
      <c r="D819">
        <v>1</v>
      </c>
      <c r="E819">
        <v>1</v>
      </c>
      <c r="F819">
        <v>42.53</v>
      </c>
      <c r="G819">
        <v>0.4145309193510463</v>
      </c>
      <c r="H819">
        <v>5</v>
      </c>
      <c r="I819">
        <v>0</v>
      </c>
    </row>
    <row r="820" spans="1:9">
      <c r="A820">
        <v>2018</v>
      </c>
      <c r="B820" s="1">
        <v>43160</v>
      </c>
      <c r="C820" s="2" t="s">
        <v>43</v>
      </c>
      <c r="D820">
        <v>2</v>
      </c>
      <c r="E820">
        <v>2</v>
      </c>
      <c r="F820">
        <v>89.71</v>
      </c>
      <c r="G820">
        <v>0.44255586222730198</v>
      </c>
      <c r="H820">
        <v>5</v>
      </c>
      <c r="I820">
        <v>0</v>
      </c>
    </row>
    <row r="821" spans="1:9">
      <c r="A821">
        <v>2018</v>
      </c>
      <c r="B821" s="1">
        <v>43191</v>
      </c>
      <c r="C821" s="2" t="s">
        <v>43</v>
      </c>
      <c r="D821">
        <v>5</v>
      </c>
      <c r="E821">
        <v>4</v>
      </c>
      <c r="F821">
        <v>267.67</v>
      </c>
      <c r="G821">
        <v>0.61851672367795996</v>
      </c>
      <c r="H821">
        <v>4.4000000000000004</v>
      </c>
      <c r="I821">
        <v>0</v>
      </c>
    </row>
    <row r="822" spans="1:9">
      <c r="A822">
        <v>2018</v>
      </c>
      <c r="B822" s="1">
        <v>43221</v>
      </c>
      <c r="C822" s="2" t="s">
        <v>43</v>
      </c>
      <c r="D822">
        <v>7</v>
      </c>
      <c r="E822">
        <v>6</v>
      </c>
      <c r="F822">
        <v>560.16</v>
      </c>
      <c r="G822">
        <v>0.2405254684730507</v>
      </c>
      <c r="H822">
        <v>3.5714285714285716</v>
      </c>
      <c r="I822">
        <v>0</v>
      </c>
    </row>
    <row r="823" spans="1:9">
      <c r="A823">
        <v>2018</v>
      </c>
      <c r="B823" s="1">
        <v>43252</v>
      </c>
      <c r="C823" s="2" t="s">
        <v>43</v>
      </c>
      <c r="D823">
        <v>6</v>
      </c>
      <c r="E823">
        <v>5</v>
      </c>
      <c r="F823">
        <v>505.03</v>
      </c>
      <c r="G823">
        <v>0.31534101964182221</v>
      </c>
      <c r="H823">
        <v>4.666666666666667</v>
      </c>
      <c r="I823">
        <v>0</v>
      </c>
    </row>
    <row r="824" spans="1:9">
      <c r="A824">
        <v>2018</v>
      </c>
      <c r="B824" s="1">
        <v>43282</v>
      </c>
      <c r="C824" s="2" t="s">
        <v>43</v>
      </c>
      <c r="D824">
        <v>1</v>
      </c>
      <c r="E824">
        <v>1</v>
      </c>
      <c r="F824">
        <v>96.88</v>
      </c>
      <c r="G824">
        <v>0.13305119735755574</v>
      </c>
      <c r="H824">
        <v>2</v>
      </c>
      <c r="I824">
        <v>1</v>
      </c>
    </row>
    <row r="825" spans="1:9">
      <c r="A825">
        <v>2018</v>
      </c>
      <c r="B825" s="1">
        <v>43313</v>
      </c>
      <c r="C825" s="2" t="s">
        <v>43</v>
      </c>
      <c r="D825">
        <v>1</v>
      </c>
      <c r="E825">
        <v>1</v>
      </c>
      <c r="F825">
        <v>16.29</v>
      </c>
      <c r="G825">
        <v>0.45365254757519952</v>
      </c>
      <c r="H825">
        <v>5</v>
      </c>
      <c r="I825">
        <v>0</v>
      </c>
    </row>
    <row r="826" spans="1:9">
      <c r="A826">
        <v>2017</v>
      </c>
      <c r="B826" s="1">
        <v>42795</v>
      </c>
      <c r="C826" s="2" t="s">
        <v>65</v>
      </c>
      <c r="D826">
        <v>5</v>
      </c>
      <c r="E826">
        <v>4</v>
      </c>
      <c r="F826">
        <v>568.42999999999995</v>
      </c>
      <c r="G826">
        <v>0.28972406364598607</v>
      </c>
      <c r="H826">
        <v>3.6</v>
      </c>
      <c r="I826">
        <v>0</v>
      </c>
    </row>
    <row r="827" spans="1:9">
      <c r="A827">
        <v>2017</v>
      </c>
      <c r="B827" s="1">
        <v>42826</v>
      </c>
      <c r="C827" s="2" t="s">
        <v>65</v>
      </c>
      <c r="D827">
        <v>7</v>
      </c>
      <c r="E827">
        <v>2</v>
      </c>
      <c r="F827">
        <v>329.17</v>
      </c>
      <c r="G827">
        <v>0.49677161496823985</v>
      </c>
      <c r="H827">
        <v>1</v>
      </c>
      <c r="I827">
        <v>0</v>
      </c>
    </row>
    <row r="828" spans="1:9">
      <c r="A828">
        <v>2017</v>
      </c>
      <c r="B828" s="1">
        <v>42856</v>
      </c>
      <c r="C828" s="2" t="s">
        <v>65</v>
      </c>
      <c r="D828">
        <v>1</v>
      </c>
      <c r="E828">
        <v>1</v>
      </c>
      <c r="F828">
        <v>112.95</v>
      </c>
      <c r="G828">
        <v>0.20318725099601595</v>
      </c>
      <c r="H828">
        <v>5</v>
      </c>
      <c r="I828">
        <v>0</v>
      </c>
    </row>
    <row r="829" spans="1:9">
      <c r="A829">
        <v>2017</v>
      </c>
      <c r="B829" s="1">
        <v>42887</v>
      </c>
      <c r="C829" s="2" t="s">
        <v>65</v>
      </c>
      <c r="D829">
        <v>1</v>
      </c>
      <c r="E829">
        <v>1</v>
      </c>
      <c r="F829">
        <v>69.2</v>
      </c>
      <c r="G829">
        <v>0.27760115606936414</v>
      </c>
      <c r="H829">
        <v>4</v>
      </c>
      <c r="I829">
        <v>0</v>
      </c>
    </row>
    <row r="830" spans="1:9">
      <c r="A830">
        <v>2017</v>
      </c>
      <c r="B830" s="1">
        <v>42917</v>
      </c>
      <c r="C830" s="2" t="s">
        <v>65</v>
      </c>
      <c r="D830">
        <v>3</v>
      </c>
      <c r="E830">
        <v>2</v>
      </c>
      <c r="F830">
        <v>348.08</v>
      </c>
      <c r="G830">
        <v>0.22787879534773944</v>
      </c>
      <c r="H830">
        <v>4</v>
      </c>
      <c r="I830">
        <v>0</v>
      </c>
    </row>
    <row r="831" spans="1:9">
      <c r="A831">
        <v>2017</v>
      </c>
      <c r="B831" s="1">
        <v>42948</v>
      </c>
      <c r="C831" s="2" t="s">
        <v>65</v>
      </c>
      <c r="D831">
        <v>2</v>
      </c>
      <c r="E831">
        <v>2</v>
      </c>
      <c r="F831">
        <v>148.77000000000001</v>
      </c>
      <c r="G831">
        <v>0.33821715836062427</v>
      </c>
      <c r="H831">
        <v>5</v>
      </c>
      <c r="I831">
        <v>0</v>
      </c>
    </row>
    <row r="832" spans="1:9">
      <c r="A832">
        <v>2017</v>
      </c>
      <c r="B832" s="1">
        <v>42979</v>
      </c>
      <c r="C832" s="2" t="s">
        <v>65</v>
      </c>
      <c r="D832">
        <v>8</v>
      </c>
      <c r="E832">
        <v>7</v>
      </c>
      <c r="F832">
        <v>428.48</v>
      </c>
      <c r="G832">
        <v>0.29943095488047455</v>
      </c>
      <c r="H832">
        <v>4.125</v>
      </c>
      <c r="I832">
        <v>0</v>
      </c>
    </row>
    <row r="833" spans="1:9">
      <c r="A833">
        <v>2017</v>
      </c>
      <c r="B833" s="1">
        <v>43009</v>
      </c>
      <c r="C833" s="2" t="s">
        <v>65</v>
      </c>
      <c r="D833">
        <v>12</v>
      </c>
      <c r="E833">
        <v>10</v>
      </c>
      <c r="F833">
        <v>752.72</v>
      </c>
      <c r="G833">
        <v>0.23069302445252698</v>
      </c>
      <c r="H833">
        <v>4.1818181818181817</v>
      </c>
      <c r="I833">
        <v>0.1</v>
      </c>
    </row>
    <row r="834" spans="1:9">
      <c r="A834">
        <v>2017</v>
      </c>
      <c r="B834" s="1">
        <v>43040</v>
      </c>
      <c r="C834" s="2" t="s">
        <v>65</v>
      </c>
      <c r="D834">
        <v>23</v>
      </c>
      <c r="E834">
        <v>15</v>
      </c>
      <c r="F834">
        <v>1127.8</v>
      </c>
      <c r="G834">
        <v>0.3072595610789699</v>
      </c>
      <c r="H834">
        <v>4.1304347826086953</v>
      </c>
      <c r="I834">
        <v>0.2</v>
      </c>
    </row>
    <row r="835" spans="1:9">
      <c r="A835">
        <v>2017</v>
      </c>
      <c r="B835" s="1">
        <v>43070</v>
      </c>
      <c r="C835" s="2" t="s">
        <v>65</v>
      </c>
      <c r="D835">
        <v>34</v>
      </c>
      <c r="E835">
        <v>31</v>
      </c>
      <c r="F835">
        <v>2574.41</v>
      </c>
      <c r="G835">
        <v>0.22964253288253672</v>
      </c>
      <c r="H835">
        <v>4.117647058823529</v>
      </c>
      <c r="I835">
        <v>3.2258064516129031E-2</v>
      </c>
    </row>
    <row r="836" spans="1:9">
      <c r="A836">
        <v>2018</v>
      </c>
      <c r="B836" s="1">
        <v>43101</v>
      </c>
      <c r="C836" s="2" t="s">
        <v>65</v>
      </c>
      <c r="D836">
        <v>52</v>
      </c>
      <c r="E836">
        <v>40</v>
      </c>
      <c r="F836">
        <v>3063.59</v>
      </c>
      <c r="G836">
        <v>0.27648215838925588</v>
      </c>
      <c r="H836">
        <v>3.9807692307692308</v>
      </c>
      <c r="I836">
        <v>2.5000000000000001E-2</v>
      </c>
    </row>
    <row r="837" spans="1:9">
      <c r="A837">
        <v>2018</v>
      </c>
      <c r="B837" s="1">
        <v>43132</v>
      </c>
      <c r="C837" s="2" t="s">
        <v>65</v>
      </c>
      <c r="D837">
        <v>32</v>
      </c>
      <c r="E837">
        <v>27</v>
      </c>
      <c r="F837">
        <v>2419.2800000000002</v>
      </c>
      <c r="G837">
        <v>0.24415572727435836</v>
      </c>
      <c r="H837">
        <v>4.15625</v>
      </c>
      <c r="I837">
        <v>0.1111111111111111</v>
      </c>
    </row>
    <row r="838" spans="1:9">
      <c r="A838">
        <v>2018</v>
      </c>
      <c r="B838" s="1">
        <v>43160</v>
      </c>
      <c r="C838" s="2" t="s">
        <v>65</v>
      </c>
      <c r="D838">
        <v>21</v>
      </c>
      <c r="E838">
        <v>20</v>
      </c>
      <c r="F838">
        <v>1268.52</v>
      </c>
      <c r="G838">
        <v>0.26095665939872031</v>
      </c>
      <c r="H838">
        <v>3.9523809523809526</v>
      </c>
      <c r="I838">
        <v>0.25</v>
      </c>
    </row>
    <row r="839" spans="1:9">
      <c r="A839">
        <v>2018</v>
      </c>
      <c r="B839" s="1">
        <v>43191</v>
      </c>
      <c r="C839" s="2" t="s">
        <v>65</v>
      </c>
      <c r="D839">
        <v>54</v>
      </c>
      <c r="E839">
        <v>29</v>
      </c>
      <c r="F839">
        <v>5914.22</v>
      </c>
      <c r="G839">
        <v>0.2649619031906339</v>
      </c>
      <c r="H839">
        <v>4.0740740740740744</v>
      </c>
      <c r="I839">
        <v>0</v>
      </c>
    </row>
    <row r="840" spans="1:9">
      <c r="A840">
        <v>2018</v>
      </c>
      <c r="B840" s="1">
        <v>43221</v>
      </c>
      <c r="C840" s="2" t="s">
        <v>65</v>
      </c>
      <c r="D840">
        <v>48</v>
      </c>
      <c r="E840">
        <v>34</v>
      </c>
      <c r="F840">
        <v>3563.83</v>
      </c>
      <c r="G840">
        <v>0.29287722704525471</v>
      </c>
      <c r="H840">
        <v>4.020833333333333</v>
      </c>
      <c r="I840">
        <v>0</v>
      </c>
    </row>
    <row r="841" spans="1:9">
      <c r="A841">
        <v>2018</v>
      </c>
      <c r="B841" s="1">
        <v>43252</v>
      </c>
      <c r="C841" s="2" t="s">
        <v>65</v>
      </c>
      <c r="D841">
        <v>33</v>
      </c>
      <c r="E841">
        <v>30</v>
      </c>
      <c r="F841">
        <v>2053.4</v>
      </c>
      <c r="G841">
        <v>0.28244020449836366</v>
      </c>
      <c r="H841">
        <v>4</v>
      </c>
      <c r="I841">
        <v>3.3333333333333333E-2</v>
      </c>
    </row>
    <row r="842" spans="1:9">
      <c r="A842">
        <v>2018</v>
      </c>
      <c r="B842" s="1">
        <v>43282</v>
      </c>
      <c r="C842" s="2" t="s">
        <v>65</v>
      </c>
      <c r="D842">
        <v>17</v>
      </c>
      <c r="E842">
        <v>17</v>
      </c>
      <c r="F842">
        <v>1633.2</v>
      </c>
      <c r="G842">
        <v>0.21189376541729699</v>
      </c>
      <c r="H842">
        <v>4.8235294117647056</v>
      </c>
      <c r="I842">
        <v>0</v>
      </c>
    </row>
    <row r="843" spans="1:9">
      <c r="A843">
        <v>2018</v>
      </c>
      <c r="B843" s="1">
        <v>43313</v>
      </c>
      <c r="C843" s="2" t="s">
        <v>65</v>
      </c>
      <c r="D843">
        <v>30</v>
      </c>
      <c r="E843">
        <v>25</v>
      </c>
      <c r="F843">
        <v>1918.02</v>
      </c>
      <c r="G843">
        <v>0.25845434341031492</v>
      </c>
      <c r="H843">
        <v>3.5666666666666669</v>
      </c>
      <c r="I843">
        <v>0.04</v>
      </c>
    </row>
    <row r="844" spans="1:9">
      <c r="A844">
        <v>2017</v>
      </c>
      <c r="B844" s="1">
        <v>43070</v>
      </c>
      <c r="C844" s="2" t="s">
        <v>22</v>
      </c>
      <c r="D844">
        <v>2</v>
      </c>
      <c r="E844">
        <v>1</v>
      </c>
      <c r="F844">
        <v>99.7</v>
      </c>
      <c r="G844">
        <v>0.23771313941825475</v>
      </c>
      <c r="H844">
        <v>1</v>
      </c>
      <c r="I844">
        <v>0</v>
      </c>
    </row>
    <row r="845" spans="1:9">
      <c r="A845">
        <v>2018</v>
      </c>
      <c r="B845" s="1">
        <v>43101</v>
      </c>
      <c r="C845" s="2" t="s">
        <v>22</v>
      </c>
      <c r="D845">
        <v>5</v>
      </c>
      <c r="E845">
        <v>1</v>
      </c>
      <c r="F845">
        <v>188.45</v>
      </c>
      <c r="G845">
        <v>0.33669408331122314</v>
      </c>
      <c r="H845">
        <v>1</v>
      </c>
      <c r="I845">
        <v>0</v>
      </c>
    </row>
    <row r="846" spans="1:9">
      <c r="A846">
        <v>2018</v>
      </c>
      <c r="B846" s="1">
        <v>43132</v>
      </c>
      <c r="C846" s="2" t="s">
        <v>22</v>
      </c>
      <c r="D846">
        <v>4</v>
      </c>
      <c r="E846">
        <v>1</v>
      </c>
      <c r="F846">
        <v>150.76</v>
      </c>
      <c r="G846">
        <v>0.33669408331122314</v>
      </c>
      <c r="H846">
        <v>3</v>
      </c>
      <c r="I846">
        <v>0</v>
      </c>
    </row>
    <row r="847" spans="1:9">
      <c r="A847">
        <v>2018</v>
      </c>
      <c r="B847" s="1">
        <v>43160</v>
      </c>
      <c r="C847" s="2" t="s">
        <v>22</v>
      </c>
      <c r="D847">
        <v>6</v>
      </c>
      <c r="E847">
        <v>2</v>
      </c>
      <c r="F847">
        <v>248.61</v>
      </c>
      <c r="G847">
        <v>0.34678400826459593</v>
      </c>
      <c r="H847">
        <v>2.6666666666666665</v>
      </c>
      <c r="I847">
        <v>0</v>
      </c>
    </row>
    <row r="848" spans="1:9">
      <c r="A848">
        <v>2018</v>
      </c>
      <c r="B848" s="1">
        <v>43191</v>
      </c>
      <c r="C848" s="2" t="s">
        <v>22</v>
      </c>
      <c r="D848">
        <v>4</v>
      </c>
      <c r="E848">
        <v>4</v>
      </c>
      <c r="F848">
        <v>200.57</v>
      </c>
      <c r="G848">
        <v>0.25240558067515495</v>
      </c>
      <c r="H848">
        <v>4.25</v>
      </c>
      <c r="I848">
        <v>0</v>
      </c>
    </row>
    <row r="849" spans="1:9">
      <c r="A849">
        <v>2018</v>
      </c>
      <c r="B849" s="1">
        <v>43221</v>
      </c>
      <c r="C849" s="2" t="s">
        <v>22</v>
      </c>
      <c r="D849">
        <v>3</v>
      </c>
      <c r="E849">
        <v>3</v>
      </c>
      <c r="F849">
        <v>159.65</v>
      </c>
      <c r="G849">
        <v>0.26742359361455675</v>
      </c>
      <c r="H849">
        <v>4.666666666666667</v>
      </c>
      <c r="I849">
        <v>0</v>
      </c>
    </row>
    <row r="850" spans="1:9">
      <c r="A850">
        <v>2018</v>
      </c>
      <c r="B850" s="1">
        <v>43252</v>
      </c>
      <c r="C850" s="2" t="s">
        <v>22</v>
      </c>
      <c r="D850">
        <v>7</v>
      </c>
      <c r="E850">
        <v>7</v>
      </c>
      <c r="F850">
        <v>427.7</v>
      </c>
      <c r="G850">
        <v>0.24830608733573059</v>
      </c>
      <c r="H850">
        <v>4.1428571428571432</v>
      </c>
      <c r="I850">
        <v>0</v>
      </c>
    </row>
    <row r="851" spans="1:9">
      <c r="A851">
        <v>2018</v>
      </c>
      <c r="B851" s="1">
        <v>43282</v>
      </c>
      <c r="C851" s="2" t="s">
        <v>22</v>
      </c>
      <c r="D851">
        <v>4</v>
      </c>
      <c r="E851">
        <v>4</v>
      </c>
      <c r="F851">
        <v>237.91</v>
      </c>
      <c r="G851">
        <v>0.32966018835451455</v>
      </c>
      <c r="H851">
        <v>3.25</v>
      </c>
      <c r="I851">
        <v>0</v>
      </c>
    </row>
    <row r="852" spans="1:9">
      <c r="A852">
        <v>2018</v>
      </c>
      <c r="B852" s="1">
        <v>43313</v>
      </c>
      <c r="C852" s="2" t="s">
        <v>22</v>
      </c>
      <c r="D852">
        <v>3</v>
      </c>
      <c r="E852">
        <v>3</v>
      </c>
      <c r="F852">
        <v>276.93</v>
      </c>
      <c r="G852">
        <v>0.18672394963397487</v>
      </c>
      <c r="H852">
        <v>4.666666666666667</v>
      </c>
      <c r="I852">
        <v>0</v>
      </c>
    </row>
    <row r="853" spans="1:9">
      <c r="A853">
        <v>2017</v>
      </c>
      <c r="B853" s="1">
        <v>42826</v>
      </c>
      <c r="C853" s="2" t="s">
        <v>70</v>
      </c>
      <c r="D853">
        <v>1</v>
      </c>
      <c r="E853">
        <v>1</v>
      </c>
      <c r="F853">
        <v>748.27</v>
      </c>
      <c r="G853">
        <v>2.5752736311759124E-2</v>
      </c>
      <c r="H853">
        <v>5</v>
      </c>
      <c r="I853">
        <v>0</v>
      </c>
    </row>
    <row r="854" spans="1:9">
      <c r="A854">
        <v>2017</v>
      </c>
      <c r="B854" s="1">
        <v>42856</v>
      </c>
      <c r="C854" s="2" t="s">
        <v>70</v>
      </c>
      <c r="D854">
        <v>2</v>
      </c>
      <c r="E854">
        <v>2</v>
      </c>
      <c r="F854">
        <v>834.3</v>
      </c>
      <c r="G854">
        <v>7.7563105340582569E-2</v>
      </c>
      <c r="H854">
        <v>5</v>
      </c>
      <c r="I854">
        <v>0</v>
      </c>
    </row>
    <row r="855" spans="1:9">
      <c r="A855">
        <v>2017</v>
      </c>
      <c r="B855" s="1">
        <v>42979</v>
      </c>
      <c r="C855" s="2" t="s">
        <v>70</v>
      </c>
      <c r="D855">
        <v>3</v>
      </c>
      <c r="E855">
        <v>3</v>
      </c>
      <c r="F855">
        <v>976.08</v>
      </c>
      <c r="G855">
        <v>0.19380602595745447</v>
      </c>
      <c r="H855">
        <v>4.666666666666667</v>
      </c>
      <c r="I855">
        <v>0</v>
      </c>
    </row>
    <row r="856" spans="1:9">
      <c r="A856">
        <v>2017</v>
      </c>
      <c r="B856" s="1">
        <v>43009</v>
      </c>
      <c r="C856" s="2" t="s">
        <v>70</v>
      </c>
      <c r="D856">
        <v>5</v>
      </c>
      <c r="E856">
        <v>5</v>
      </c>
      <c r="F856">
        <v>1119.96</v>
      </c>
      <c r="G856">
        <v>0.2357907759137339</v>
      </c>
      <c r="H856">
        <v>4.5999999999999996</v>
      </c>
      <c r="I856">
        <v>0</v>
      </c>
    </row>
    <row r="857" spans="1:9">
      <c r="A857">
        <v>2017</v>
      </c>
      <c r="B857" s="1">
        <v>43040</v>
      </c>
      <c r="C857" s="2" t="s">
        <v>70</v>
      </c>
      <c r="D857">
        <v>5</v>
      </c>
      <c r="E857">
        <v>4</v>
      </c>
      <c r="F857">
        <v>349.54</v>
      </c>
      <c r="G857">
        <v>0.29366038255880628</v>
      </c>
      <c r="H857">
        <v>4.2</v>
      </c>
      <c r="I857">
        <v>0.25</v>
      </c>
    </row>
    <row r="858" spans="1:9">
      <c r="A858">
        <v>2017</v>
      </c>
      <c r="B858" s="1">
        <v>43070</v>
      </c>
      <c r="C858" s="2" t="s">
        <v>70</v>
      </c>
      <c r="D858">
        <v>6</v>
      </c>
      <c r="E858">
        <v>6</v>
      </c>
      <c r="F858">
        <v>457.82</v>
      </c>
      <c r="G858">
        <v>0.31730450275211686</v>
      </c>
      <c r="H858">
        <v>4</v>
      </c>
      <c r="I858">
        <v>0</v>
      </c>
    </row>
    <row r="859" spans="1:9">
      <c r="A859">
        <v>2018</v>
      </c>
      <c r="B859" s="1">
        <v>43101</v>
      </c>
      <c r="C859" s="2" t="s">
        <v>70</v>
      </c>
      <c r="D859">
        <v>8</v>
      </c>
      <c r="E859">
        <v>8</v>
      </c>
      <c r="F859">
        <v>695.13</v>
      </c>
      <c r="G859">
        <v>0.31791527538331688</v>
      </c>
      <c r="H859">
        <v>3.8571428571428572</v>
      </c>
      <c r="I859">
        <v>0.125</v>
      </c>
    </row>
    <row r="860" spans="1:9">
      <c r="A860">
        <v>2018</v>
      </c>
      <c r="B860" s="1">
        <v>43132</v>
      </c>
      <c r="C860" s="2" t="s">
        <v>70</v>
      </c>
      <c r="D860">
        <v>12</v>
      </c>
      <c r="E860">
        <v>11</v>
      </c>
      <c r="F860">
        <v>1539.82</v>
      </c>
      <c r="G860">
        <v>0.25064504206228516</v>
      </c>
      <c r="H860">
        <v>4.4000000000000004</v>
      </c>
      <c r="I860">
        <v>9.0909090909090912E-2</v>
      </c>
    </row>
    <row r="861" spans="1:9">
      <c r="A861">
        <v>2018</v>
      </c>
      <c r="B861" s="1">
        <v>43160</v>
      </c>
      <c r="C861" s="2" t="s">
        <v>70</v>
      </c>
      <c r="D861">
        <v>9</v>
      </c>
      <c r="E861">
        <v>8</v>
      </c>
      <c r="F861">
        <v>1154.77</v>
      </c>
      <c r="G861">
        <v>0.25820203961378474</v>
      </c>
      <c r="H861">
        <v>4.2222222222222223</v>
      </c>
      <c r="I861">
        <v>0</v>
      </c>
    </row>
    <row r="862" spans="1:9">
      <c r="A862">
        <v>2018</v>
      </c>
      <c r="B862" s="1">
        <v>43191</v>
      </c>
      <c r="C862" s="2" t="s">
        <v>70</v>
      </c>
      <c r="D862">
        <v>17</v>
      </c>
      <c r="E862">
        <v>16</v>
      </c>
      <c r="F862">
        <v>1651.92</v>
      </c>
      <c r="G862">
        <v>0.26042776656236799</v>
      </c>
      <c r="H862">
        <v>4.3529411764705879</v>
      </c>
      <c r="I862">
        <v>6.25E-2</v>
      </c>
    </row>
    <row r="863" spans="1:9">
      <c r="A863">
        <v>2018</v>
      </c>
      <c r="B863" s="1">
        <v>43221</v>
      </c>
      <c r="C863" s="2" t="s">
        <v>70</v>
      </c>
      <c r="D863">
        <v>5</v>
      </c>
      <c r="E863">
        <v>5</v>
      </c>
      <c r="F863">
        <v>506.26</v>
      </c>
      <c r="G863">
        <v>0.18485496061161621</v>
      </c>
      <c r="H863">
        <v>4.8</v>
      </c>
      <c r="I863">
        <v>0</v>
      </c>
    </row>
    <row r="864" spans="1:9">
      <c r="A864">
        <v>2018</v>
      </c>
      <c r="B864" s="1">
        <v>43252</v>
      </c>
      <c r="C864" s="2" t="s">
        <v>70</v>
      </c>
      <c r="D864">
        <v>4</v>
      </c>
      <c r="E864">
        <v>4</v>
      </c>
      <c r="F864">
        <v>623.80999999999995</v>
      </c>
      <c r="G864">
        <v>0.15043191188792493</v>
      </c>
      <c r="H864">
        <v>5</v>
      </c>
      <c r="I864">
        <v>0</v>
      </c>
    </row>
    <row r="865" spans="1:9">
      <c r="A865">
        <v>2018</v>
      </c>
      <c r="B865" s="1">
        <v>43282</v>
      </c>
      <c r="C865" s="2" t="s">
        <v>70</v>
      </c>
      <c r="D865">
        <v>12</v>
      </c>
      <c r="E865">
        <v>10</v>
      </c>
      <c r="F865">
        <v>5779.45</v>
      </c>
      <c r="G865">
        <v>0.13116930478223099</v>
      </c>
      <c r="H865">
        <v>4.833333333333333</v>
      </c>
      <c r="I865">
        <v>0.1</v>
      </c>
    </row>
    <row r="866" spans="1:9">
      <c r="A866">
        <v>2018</v>
      </c>
      <c r="B866" s="1">
        <v>43313</v>
      </c>
      <c r="C866" s="2" t="s">
        <v>70</v>
      </c>
      <c r="D866">
        <v>14</v>
      </c>
      <c r="E866">
        <v>14</v>
      </c>
      <c r="F866">
        <v>1497.04</v>
      </c>
      <c r="G866">
        <v>0.24211272447205678</v>
      </c>
      <c r="H866">
        <v>4.4615384615384617</v>
      </c>
      <c r="I866">
        <v>7.1428571428571425E-2</v>
      </c>
    </row>
    <row r="867" spans="1:9">
      <c r="A867">
        <v>2017</v>
      </c>
      <c r="B867" s="1">
        <v>42767</v>
      </c>
      <c r="C867" s="2" t="s">
        <v>59</v>
      </c>
      <c r="D867">
        <v>2</v>
      </c>
      <c r="E867">
        <v>1</v>
      </c>
      <c r="F867">
        <v>624.67999999999995</v>
      </c>
      <c r="G867">
        <v>7.1556636998143047E-2</v>
      </c>
      <c r="H867">
        <v>5</v>
      </c>
      <c r="I867">
        <v>0</v>
      </c>
    </row>
    <row r="868" spans="1:9">
      <c r="A868">
        <v>2017</v>
      </c>
      <c r="B868" s="1">
        <v>42826</v>
      </c>
      <c r="C868" s="2" t="s">
        <v>59</v>
      </c>
      <c r="D868">
        <v>8</v>
      </c>
      <c r="E868">
        <v>7</v>
      </c>
      <c r="F868">
        <v>1680.57</v>
      </c>
      <c r="G868">
        <v>0.24704714427030511</v>
      </c>
      <c r="H868">
        <v>4.375</v>
      </c>
      <c r="I868">
        <v>0</v>
      </c>
    </row>
    <row r="869" spans="1:9">
      <c r="A869">
        <v>2017</v>
      </c>
      <c r="B869" s="1">
        <v>42856</v>
      </c>
      <c r="C869" s="2" t="s">
        <v>59</v>
      </c>
      <c r="D869">
        <v>8</v>
      </c>
      <c r="E869">
        <v>6</v>
      </c>
      <c r="F869">
        <v>1806.55</v>
      </c>
      <c r="G869">
        <v>0.24492999485330991</v>
      </c>
      <c r="H869">
        <v>3</v>
      </c>
      <c r="I869">
        <v>0.66666666666666663</v>
      </c>
    </row>
    <row r="870" spans="1:9">
      <c r="A870">
        <v>2017</v>
      </c>
      <c r="B870" s="1">
        <v>42887</v>
      </c>
      <c r="C870" s="2" t="s">
        <v>59</v>
      </c>
      <c r="D870">
        <v>4</v>
      </c>
      <c r="E870">
        <v>3</v>
      </c>
      <c r="F870">
        <v>500.4</v>
      </c>
      <c r="G870">
        <v>0.15656500117913108</v>
      </c>
      <c r="H870">
        <v>4.75</v>
      </c>
      <c r="I870">
        <v>0</v>
      </c>
    </row>
    <row r="871" spans="1:9">
      <c r="A871">
        <v>2017</v>
      </c>
      <c r="B871" s="1">
        <v>42917</v>
      </c>
      <c r="C871" s="2" t="s">
        <v>59</v>
      </c>
      <c r="D871">
        <v>8</v>
      </c>
      <c r="E871">
        <v>7</v>
      </c>
      <c r="F871">
        <v>473.37</v>
      </c>
      <c r="G871">
        <v>0.32198749867821386</v>
      </c>
      <c r="H871">
        <v>4.5</v>
      </c>
      <c r="I871">
        <v>0</v>
      </c>
    </row>
    <row r="872" spans="1:9">
      <c r="A872">
        <v>2017</v>
      </c>
      <c r="B872" s="1">
        <v>42948</v>
      </c>
      <c r="C872" s="2" t="s">
        <v>59</v>
      </c>
      <c r="D872">
        <v>10</v>
      </c>
      <c r="E872">
        <v>7</v>
      </c>
      <c r="F872">
        <v>1483</v>
      </c>
      <c r="G872">
        <v>0.17420010001774983</v>
      </c>
      <c r="H872">
        <v>3.9</v>
      </c>
      <c r="I872">
        <v>0</v>
      </c>
    </row>
    <row r="873" spans="1:9">
      <c r="A873">
        <v>2017</v>
      </c>
      <c r="B873" s="1">
        <v>42979</v>
      </c>
      <c r="C873" s="2" t="s">
        <v>59</v>
      </c>
      <c r="D873">
        <v>6</v>
      </c>
      <c r="E873">
        <v>5</v>
      </c>
      <c r="F873">
        <v>401.47</v>
      </c>
      <c r="G873">
        <v>0.26469470547316504</v>
      </c>
      <c r="H873">
        <v>4.333333333333333</v>
      </c>
      <c r="I873">
        <v>0</v>
      </c>
    </row>
    <row r="874" spans="1:9">
      <c r="A874">
        <v>2017</v>
      </c>
      <c r="B874" s="1">
        <v>43009</v>
      </c>
      <c r="C874" s="2" t="s">
        <v>59</v>
      </c>
      <c r="D874">
        <v>9</v>
      </c>
      <c r="E874">
        <v>8</v>
      </c>
      <c r="F874">
        <v>888.16</v>
      </c>
      <c r="G874">
        <v>0.26184499654029075</v>
      </c>
      <c r="H874">
        <v>4</v>
      </c>
      <c r="I874">
        <v>0</v>
      </c>
    </row>
    <row r="875" spans="1:9">
      <c r="A875">
        <v>2017</v>
      </c>
      <c r="B875" s="1">
        <v>43040</v>
      </c>
      <c r="C875" s="2" t="s">
        <v>59</v>
      </c>
      <c r="D875">
        <v>17</v>
      </c>
      <c r="E875">
        <v>14</v>
      </c>
      <c r="F875">
        <v>1578.65</v>
      </c>
      <c r="G875">
        <v>0.30509237583389259</v>
      </c>
      <c r="H875">
        <v>3.3529411764705883</v>
      </c>
      <c r="I875">
        <v>0</v>
      </c>
    </row>
    <row r="876" spans="1:9">
      <c r="A876">
        <v>2017</v>
      </c>
      <c r="B876" s="1">
        <v>43070</v>
      </c>
      <c r="C876" s="2" t="s">
        <v>59</v>
      </c>
      <c r="D876">
        <v>6</v>
      </c>
      <c r="E876">
        <v>6</v>
      </c>
      <c r="F876">
        <v>1097.75</v>
      </c>
      <c r="G876">
        <v>0.24939862321631795</v>
      </c>
      <c r="H876">
        <v>4.166666666666667</v>
      </c>
      <c r="I876">
        <v>0.16666666666666666</v>
      </c>
    </row>
    <row r="877" spans="1:9">
      <c r="A877">
        <v>2018</v>
      </c>
      <c r="B877" s="1">
        <v>43101</v>
      </c>
      <c r="C877" s="2" t="s">
        <v>59</v>
      </c>
      <c r="D877">
        <v>24</v>
      </c>
      <c r="E877">
        <v>21</v>
      </c>
      <c r="F877">
        <v>4505.74</v>
      </c>
      <c r="G877">
        <v>0.22837074476482722</v>
      </c>
      <c r="H877">
        <v>4.416666666666667</v>
      </c>
      <c r="I877">
        <v>0</v>
      </c>
    </row>
    <row r="878" spans="1:9">
      <c r="A878">
        <v>2018</v>
      </c>
      <c r="B878" s="1">
        <v>43132</v>
      </c>
      <c r="C878" s="2" t="s">
        <v>59</v>
      </c>
      <c r="D878">
        <v>20</v>
      </c>
      <c r="E878">
        <v>14</v>
      </c>
      <c r="F878">
        <v>1880.1</v>
      </c>
      <c r="G878">
        <v>0.26858703273022877</v>
      </c>
      <c r="H878">
        <v>4.3499999999999996</v>
      </c>
      <c r="I878">
        <v>0.14285714285714285</v>
      </c>
    </row>
    <row r="879" spans="1:9">
      <c r="A879">
        <v>2018</v>
      </c>
      <c r="B879" s="1">
        <v>43160</v>
      </c>
      <c r="C879" s="2" t="s">
        <v>59</v>
      </c>
      <c r="D879">
        <v>24</v>
      </c>
      <c r="E879">
        <v>20</v>
      </c>
      <c r="F879">
        <v>3007.62</v>
      </c>
      <c r="G879">
        <v>0.25808092678168432</v>
      </c>
      <c r="H879">
        <v>4.125</v>
      </c>
      <c r="I879">
        <v>0.1</v>
      </c>
    </row>
    <row r="880" spans="1:9">
      <c r="A880">
        <v>2018</v>
      </c>
      <c r="B880" s="1">
        <v>43191</v>
      </c>
      <c r="C880" s="2" t="s">
        <v>59</v>
      </c>
      <c r="D880">
        <v>18</v>
      </c>
      <c r="E880">
        <v>12</v>
      </c>
      <c r="F880">
        <v>1777.27</v>
      </c>
      <c r="G880">
        <v>0.29968944200368197</v>
      </c>
      <c r="H880">
        <v>4.333333333333333</v>
      </c>
      <c r="I880">
        <v>0.16666666666666666</v>
      </c>
    </row>
    <row r="881" spans="1:9">
      <c r="A881">
        <v>2018</v>
      </c>
      <c r="B881" s="1">
        <v>43221</v>
      </c>
      <c r="C881" s="2" t="s">
        <v>59</v>
      </c>
      <c r="D881">
        <v>16</v>
      </c>
      <c r="E881">
        <v>13</v>
      </c>
      <c r="F881">
        <v>1403.85</v>
      </c>
      <c r="G881">
        <v>0.31670959736190324</v>
      </c>
      <c r="H881">
        <v>4.25</v>
      </c>
      <c r="I881">
        <v>0</v>
      </c>
    </row>
    <row r="882" spans="1:9">
      <c r="A882">
        <v>2018</v>
      </c>
      <c r="B882" s="1">
        <v>43252</v>
      </c>
      <c r="C882" s="2" t="s">
        <v>59</v>
      </c>
      <c r="D882">
        <v>11</v>
      </c>
      <c r="E882">
        <v>11</v>
      </c>
      <c r="F882">
        <v>1067.5999999999999</v>
      </c>
      <c r="G882">
        <v>0.26669156162616703</v>
      </c>
      <c r="H882">
        <v>4.4545454545454541</v>
      </c>
      <c r="I882">
        <v>0</v>
      </c>
    </row>
    <row r="883" spans="1:9">
      <c r="A883">
        <v>2018</v>
      </c>
      <c r="B883" s="1">
        <v>43282</v>
      </c>
      <c r="C883" s="2" t="s">
        <v>59</v>
      </c>
      <c r="D883">
        <v>25</v>
      </c>
      <c r="E883">
        <v>20</v>
      </c>
      <c r="F883">
        <v>2592.27</v>
      </c>
      <c r="G883">
        <v>0.33829330010427605</v>
      </c>
      <c r="H883">
        <v>3.72</v>
      </c>
      <c r="I883">
        <v>0</v>
      </c>
    </row>
    <row r="884" spans="1:9">
      <c r="A884">
        <v>2018</v>
      </c>
      <c r="B884" s="1">
        <v>43313</v>
      </c>
      <c r="C884" s="2" t="s">
        <v>59</v>
      </c>
      <c r="D884">
        <v>23</v>
      </c>
      <c r="E884">
        <v>19</v>
      </c>
      <c r="F884">
        <v>4294.49</v>
      </c>
      <c r="G884">
        <v>0.23910105137986035</v>
      </c>
      <c r="H884">
        <v>3.5217391304347827</v>
      </c>
      <c r="I884">
        <v>0.10526315789473684</v>
      </c>
    </row>
    <row r="885" spans="1:9">
      <c r="A885">
        <v>2017</v>
      </c>
      <c r="B885" s="1">
        <v>42736</v>
      </c>
      <c r="C885" s="2" t="s">
        <v>21</v>
      </c>
      <c r="D885">
        <v>40</v>
      </c>
      <c r="E885">
        <v>32</v>
      </c>
      <c r="F885">
        <v>8730.86</v>
      </c>
      <c r="G885">
        <v>0.16146634696969997</v>
      </c>
      <c r="H885">
        <v>3.7250000000000001</v>
      </c>
      <c r="I885">
        <v>0</v>
      </c>
    </row>
    <row r="886" spans="1:9">
      <c r="A886">
        <v>2017</v>
      </c>
      <c r="B886" s="1">
        <v>42767</v>
      </c>
      <c r="C886" s="2" t="s">
        <v>21</v>
      </c>
      <c r="D886">
        <v>70</v>
      </c>
      <c r="E886">
        <v>69</v>
      </c>
      <c r="F886">
        <v>14857.05</v>
      </c>
      <c r="G886">
        <v>0.1516702917479002</v>
      </c>
      <c r="H886">
        <v>4.3</v>
      </c>
      <c r="I886">
        <v>0</v>
      </c>
    </row>
    <row r="887" spans="1:9">
      <c r="A887">
        <v>2017</v>
      </c>
      <c r="B887" s="1">
        <v>42795</v>
      </c>
      <c r="C887" s="2" t="s">
        <v>21</v>
      </c>
      <c r="D887">
        <v>123</v>
      </c>
      <c r="E887">
        <v>121</v>
      </c>
      <c r="F887">
        <v>23389.43</v>
      </c>
      <c r="G887">
        <v>0.14482100888070665</v>
      </c>
      <c r="H887">
        <v>4.4146341463414638</v>
      </c>
      <c r="I887">
        <v>4.9586776859504134E-2</v>
      </c>
    </row>
    <row r="888" spans="1:9">
      <c r="A888">
        <v>2017</v>
      </c>
      <c r="B888" s="1">
        <v>42826</v>
      </c>
      <c r="C888" s="2" t="s">
        <v>21</v>
      </c>
      <c r="D888">
        <v>121</v>
      </c>
      <c r="E888">
        <v>119</v>
      </c>
      <c r="F888">
        <v>24393.33</v>
      </c>
      <c r="G888">
        <v>0.14457545594525009</v>
      </c>
      <c r="H888">
        <v>3.9916666666666667</v>
      </c>
      <c r="I888">
        <v>9.2436974789915971E-2</v>
      </c>
    </row>
    <row r="889" spans="1:9">
      <c r="A889">
        <v>2017</v>
      </c>
      <c r="B889" s="1">
        <v>42856</v>
      </c>
      <c r="C889" s="2" t="s">
        <v>21</v>
      </c>
      <c r="D889">
        <v>249</v>
      </c>
      <c r="E889">
        <v>236</v>
      </c>
      <c r="F889">
        <v>38750.089999999997</v>
      </c>
      <c r="G889">
        <v>0.15292774296940559</v>
      </c>
      <c r="H889">
        <v>4.17741935483871</v>
      </c>
      <c r="I889">
        <v>2.5423728813559324E-2</v>
      </c>
    </row>
    <row r="890" spans="1:9">
      <c r="A890">
        <v>2017</v>
      </c>
      <c r="B890" s="1">
        <v>42887</v>
      </c>
      <c r="C890" s="2" t="s">
        <v>21</v>
      </c>
      <c r="D890">
        <v>202</v>
      </c>
      <c r="E890">
        <v>197</v>
      </c>
      <c r="F890">
        <v>42974.78</v>
      </c>
      <c r="G890">
        <v>0.15736784768148401</v>
      </c>
      <c r="H890">
        <v>4.3768844221105532</v>
      </c>
      <c r="I890">
        <v>2.5380710659898477E-2</v>
      </c>
    </row>
    <row r="891" spans="1:9">
      <c r="A891">
        <v>2017</v>
      </c>
      <c r="B891" s="1">
        <v>42917</v>
      </c>
      <c r="C891" s="2" t="s">
        <v>21</v>
      </c>
      <c r="D891">
        <v>230</v>
      </c>
      <c r="E891">
        <v>222</v>
      </c>
      <c r="F891">
        <v>42328.6</v>
      </c>
      <c r="G891">
        <v>0.16028083005363758</v>
      </c>
      <c r="H891">
        <v>4.2687224669603525</v>
      </c>
      <c r="I891">
        <v>2.7027027027027029E-2</v>
      </c>
    </row>
    <row r="892" spans="1:9">
      <c r="A892">
        <v>2017</v>
      </c>
      <c r="B892" s="1">
        <v>42948</v>
      </c>
      <c r="C892" s="2" t="s">
        <v>21</v>
      </c>
      <c r="D892">
        <v>264</v>
      </c>
      <c r="E892">
        <v>241</v>
      </c>
      <c r="F892">
        <v>47492.44</v>
      </c>
      <c r="G892">
        <v>0.16522238050772564</v>
      </c>
      <c r="H892">
        <v>4.3840304182509504</v>
      </c>
      <c r="I892">
        <v>8.2987551867219917E-3</v>
      </c>
    </row>
    <row r="893" spans="1:9">
      <c r="A893">
        <v>2017</v>
      </c>
      <c r="B893" s="1">
        <v>42979</v>
      </c>
      <c r="C893" s="2" t="s">
        <v>21</v>
      </c>
      <c r="D893">
        <v>208</v>
      </c>
      <c r="E893">
        <v>200</v>
      </c>
      <c r="F893">
        <v>43473.05</v>
      </c>
      <c r="G893">
        <v>0.16604030158309185</v>
      </c>
      <c r="H893">
        <v>4.204878048780488</v>
      </c>
      <c r="I893">
        <v>3.5000000000000003E-2</v>
      </c>
    </row>
    <row r="894" spans="1:9">
      <c r="A894">
        <v>2017</v>
      </c>
      <c r="B894" s="1">
        <v>43009</v>
      </c>
      <c r="C894" s="2" t="s">
        <v>21</v>
      </c>
      <c r="D894">
        <v>258</v>
      </c>
      <c r="E894">
        <v>246</v>
      </c>
      <c r="F894">
        <v>51176.94</v>
      </c>
      <c r="G894">
        <v>0.16302607531389518</v>
      </c>
      <c r="H894">
        <v>4.2784313725490195</v>
      </c>
      <c r="I894">
        <v>4.4715447154471545E-2</v>
      </c>
    </row>
    <row r="895" spans="1:9">
      <c r="A895">
        <v>2017</v>
      </c>
      <c r="B895" s="1">
        <v>43040</v>
      </c>
      <c r="C895" s="2" t="s">
        <v>21</v>
      </c>
      <c r="D895">
        <v>302</v>
      </c>
      <c r="E895">
        <v>291</v>
      </c>
      <c r="F895">
        <v>62966.12</v>
      </c>
      <c r="G895">
        <v>0.14991983378694554</v>
      </c>
      <c r="H895">
        <v>4.0709459459459456</v>
      </c>
      <c r="I895">
        <v>9.9656357388316158E-2</v>
      </c>
    </row>
    <row r="896" spans="1:9">
      <c r="A896">
        <v>2017</v>
      </c>
      <c r="B896" s="1">
        <v>43070</v>
      </c>
      <c r="C896" s="2" t="s">
        <v>21</v>
      </c>
      <c r="D896">
        <v>252</v>
      </c>
      <c r="E896">
        <v>235</v>
      </c>
      <c r="F896">
        <v>44279.53</v>
      </c>
      <c r="G896">
        <v>0.15938597699559781</v>
      </c>
      <c r="H896">
        <v>4.024390243902439</v>
      </c>
      <c r="I896">
        <v>8.5106382978723402E-2</v>
      </c>
    </row>
    <row r="897" spans="1:9">
      <c r="A897">
        <v>2018</v>
      </c>
      <c r="B897" s="1">
        <v>43101</v>
      </c>
      <c r="C897" s="2" t="s">
        <v>21</v>
      </c>
      <c r="D897">
        <v>300</v>
      </c>
      <c r="E897">
        <v>289</v>
      </c>
      <c r="F897">
        <v>45766.52</v>
      </c>
      <c r="G897">
        <v>0.21023044084582612</v>
      </c>
      <c r="H897">
        <v>4.1275167785234901</v>
      </c>
      <c r="I897">
        <v>5.536332179930796E-2</v>
      </c>
    </row>
    <row r="898" spans="1:9">
      <c r="A898">
        <v>2018</v>
      </c>
      <c r="B898" s="1">
        <v>43132</v>
      </c>
      <c r="C898" s="2" t="s">
        <v>21</v>
      </c>
      <c r="D898">
        <v>187</v>
      </c>
      <c r="E898">
        <v>182</v>
      </c>
      <c r="F898">
        <v>34700.35</v>
      </c>
      <c r="G898">
        <v>0.14222569676214872</v>
      </c>
      <c r="H898">
        <v>3.8186813186813189</v>
      </c>
      <c r="I898">
        <v>0.13186813186813187</v>
      </c>
    </row>
    <row r="899" spans="1:9">
      <c r="A899">
        <v>2018</v>
      </c>
      <c r="B899" s="1">
        <v>43160</v>
      </c>
      <c r="C899" s="2" t="s">
        <v>21</v>
      </c>
      <c r="D899">
        <v>256</v>
      </c>
      <c r="E899">
        <v>242</v>
      </c>
      <c r="F899">
        <v>43913.06</v>
      </c>
      <c r="G899">
        <v>0.17085726028513323</v>
      </c>
      <c r="H899">
        <v>3.8627450980392157</v>
      </c>
      <c r="I899">
        <v>0.13636363636363635</v>
      </c>
    </row>
    <row r="900" spans="1:9">
      <c r="A900">
        <v>2018</v>
      </c>
      <c r="B900" s="1">
        <v>43191</v>
      </c>
      <c r="C900" s="2" t="s">
        <v>21</v>
      </c>
      <c r="D900">
        <v>207</v>
      </c>
      <c r="E900">
        <v>195</v>
      </c>
      <c r="F900">
        <v>40200.699999999997</v>
      </c>
      <c r="G900">
        <v>0.16147876246869361</v>
      </c>
      <c r="H900">
        <v>4.1592039800995027</v>
      </c>
      <c r="I900">
        <v>6.1538461538461542E-2</v>
      </c>
    </row>
    <row r="901" spans="1:9">
      <c r="A901">
        <v>2018</v>
      </c>
      <c r="B901" s="1">
        <v>43221</v>
      </c>
      <c r="C901" s="2" t="s">
        <v>21</v>
      </c>
      <c r="D901">
        <v>177</v>
      </c>
      <c r="E901">
        <v>169</v>
      </c>
      <c r="F901">
        <v>34031.730000000003</v>
      </c>
      <c r="G901">
        <v>0.15167705844935331</v>
      </c>
      <c r="H901">
        <v>4.1363636363636367</v>
      </c>
      <c r="I901">
        <v>5.3254437869822487E-2</v>
      </c>
    </row>
    <row r="902" spans="1:9">
      <c r="A902">
        <v>2018</v>
      </c>
      <c r="B902" s="1">
        <v>43252</v>
      </c>
      <c r="C902" s="2" t="s">
        <v>21</v>
      </c>
      <c r="D902">
        <v>103</v>
      </c>
      <c r="E902">
        <v>100</v>
      </c>
      <c r="F902">
        <v>22026.04</v>
      </c>
      <c r="G902">
        <v>0.16681560051870925</v>
      </c>
      <c r="H902">
        <v>4.2815533980582527</v>
      </c>
      <c r="I902">
        <v>0.05</v>
      </c>
    </row>
    <row r="903" spans="1:9">
      <c r="A903">
        <v>2018</v>
      </c>
      <c r="B903" s="1">
        <v>43282</v>
      </c>
      <c r="C903" s="2" t="s">
        <v>21</v>
      </c>
      <c r="D903">
        <v>122</v>
      </c>
      <c r="E903">
        <v>118</v>
      </c>
      <c r="F903">
        <v>34400.879999999997</v>
      </c>
      <c r="G903">
        <v>0.17221726343878641</v>
      </c>
      <c r="H903">
        <v>4.2131147540983607</v>
      </c>
      <c r="I903">
        <v>3.3898305084745763E-2</v>
      </c>
    </row>
    <row r="904" spans="1:9">
      <c r="A904">
        <v>2018</v>
      </c>
      <c r="B904" s="1">
        <v>43313</v>
      </c>
      <c r="C904" s="2" t="s">
        <v>21</v>
      </c>
      <c r="D904">
        <v>123</v>
      </c>
      <c r="E904">
        <v>120</v>
      </c>
      <c r="F904">
        <v>19091.64</v>
      </c>
      <c r="G904">
        <v>0.17497651691105728</v>
      </c>
      <c r="H904">
        <v>3.9837398373983741</v>
      </c>
      <c r="I904">
        <v>9.166666666666666E-2</v>
      </c>
    </row>
    <row r="905" spans="1:9">
      <c r="A905">
        <v>2017</v>
      </c>
      <c r="B905" s="1">
        <v>42767</v>
      </c>
      <c r="C905" s="2" t="s">
        <v>58</v>
      </c>
      <c r="D905">
        <v>1</v>
      </c>
      <c r="E905">
        <v>1</v>
      </c>
      <c r="F905">
        <v>396.86</v>
      </c>
      <c r="G905">
        <v>4.5003275714357707E-2</v>
      </c>
      <c r="H905">
        <v>5</v>
      </c>
      <c r="I905">
        <v>0</v>
      </c>
    </row>
    <row r="906" spans="1:9">
      <c r="A906">
        <v>2017</v>
      </c>
      <c r="B906" s="1">
        <v>42795</v>
      </c>
      <c r="C906" s="2" t="s">
        <v>58</v>
      </c>
      <c r="D906">
        <v>2</v>
      </c>
      <c r="E906">
        <v>2</v>
      </c>
      <c r="F906">
        <v>425.76</v>
      </c>
      <c r="G906">
        <v>0.10704126876226511</v>
      </c>
      <c r="H906">
        <v>1</v>
      </c>
      <c r="I906">
        <v>0</v>
      </c>
    </row>
    <row r="907" spans="1:9">
      <c r="A907">
        <v>2017</v>
      </c>
      <c r="B907" s="1">
        <v>42948</v>
      </c>
      <c r="C907" s="2" t="s">
        <v>58</v>
      </c>
      <c r="D907">
        <v>1</v>
      </c>
      <c r="E907">
        <v>1</v>
      </c>
      <c r="F907">
        <v>24.69</v>
      </c>
      <c r="G907">
        <v>0.6395301741595788</v>
      </c>
      <c r="H907">
        <v>1</v>
      </c>
      <c r="I907">
        <v>0</v>
      </c>
    </row>
    <row r="908" spans="1:9">
      <c r="A908">
        <v>2017</v>
      </c>
      <c r="B908" s="1">
        <v>42979</v>
      </c>
      <c r="C908" s="2" t="s">
        <v>58</v>
      </c>
      <c r="D908">
        <v>5</v>
      </c>
      <c r="E908">
        <v>4</v>
      </c>
      <c r="F908">
        <v>1202.29</v>
      </c>
      <c r="G908">
        <v>0.13972277490546317</v>
      </c>
      <c r="H908">
        <v>3.4</v>
      </c>
      <c r="I908">
        <v>0</v>
      </c>
    </row>
    <row r="909" spans="1:9">
      <c r="A909">
        <v>2017</v>
      </c>
      <c r="B909" s="1">
        <v>43009</v>
      </c>
      <c r="C909" s="2" t="s">
        <v>58</v>
      </c>
      <c r="D909">
        <v>12</v>
      </c>
      <c r="E909">
        <v>9</v>
      </c>
      <c r="F909">
        <v>1918.55</v>
      </c>
      <c r="G909">
        <v>0.150098405447599</v>
      </c>
      <c r="H909">
        <v>3.1666666666666665</v>
      </c>
      <c r="I909">
        <v>0</v>
      </c>
    </row>
    <row r="910" spans="1:9">
      <c r="A910">
        <v>2017</v>
      </c>
      <c r="B910" s="1">
        <v>43040</v>
      </c>
      <c r="C910" s="2" t="s">
        <v>58</v>
      </c>
      <c r="D910">
        <v>15</v>
      </c>
      <c r="E910">
        <v>13</v>
      </c>
      <c r="F910">
        <v>3560.71</v>
      </c>
      <c r="G910">
        <v>0.12233514950077413</v>
      </c>
      <c r="H910">
        <v>4.2666666666666666</v>
      </c>
      <c r="I910">
        <v>7.6923076923076927E-2</v>
      </c>
    </row>
    <row r="911" spans="1:9">
      <c r="A911">
        <v>2017</v>
      </c>
      <c r="B911" s="1">
        <v>43070</v>
      </c>
      <c r="C911" s="2" t="s">
        <v>58</v>
      </c>
      <c r="D911">
        <v>7</v>
      </c>
      <c r="E911">
        <v>7</v>
      </c>
      <c r="F911">
        <v>1525.46</v>
      </c>
      <c r="G911">
        <v>0.15072697205085336</v>
      </c>
      <c r="H911">
        <v>3.8571428571428572</v>
      </c>
      <c r="I911">
        <v>0</v>
      </c>
    </row>
    <row r="912" spans="1:9">
      <c r="A912">
        <v>2018</v>
      </c>
      <c r="B912" s="1">
        <v>43101</v>
      </c>
      <c r="C912" s="2" t="s">
        <v>58</v>
      </c>
      <c r="D912">
        <v>11</v>
      </c>
      <c r="E912">
        <v>9</v>
      </c>
      <c r="F912">
        <v>2424.7600000000002</v>
      </c>
      <c r="G912">
        <v>0.14232140791343395</v>
      </c>
      <c r="H912">
        <v>3.7272727272727275</v>
      </c>
      <c r="I912">
        <v>0</v>
      </c>
    </row>
    <row r="913" spans="1:9">
      <c r="A913">
        <v>2018</v>
      </c>
      <c r="B913" s="1">
        <v>43132</v>
      </c>
      <c r="C913" s="2" t="s">
        <v>58</v>
      </c>
      <c r="D913">
        <v>8</v>
      </c>
      <c r="E913">
        <v>7</v>
      </c>
      <c r="F913">
        <v>6152.31</v>
      </c>
      <c r="G913">
        <v>0.11382206937501772</v>
      </c>
      <c r="H913">
        <v>4.5</v>
      </c>
      <c r="I913">
        <v>0</v>
      </c>
    </row>
    <row r="914" spans="1:9">
      <c r="A914">
        <v>2018</v>
      </c>
      <c r="B914" s="1">
        <v>43160</v>
      </c>
      <c r="C914" s="2" t="s">
        <v>58</v>
      </c>
      <c r="D914">
        <v>22</v>
      </c>
      <c r="E914">
        <v>13</v>
      </c>
      <c r="F914">
        <v>5789.78</v>
      </c>
      <c r="G914">
        <v>0.19720348066178017</v>
      </c>
      <c r="H914">
        <v>4.1818181818181817</v>
      </c>
      <c r="I914">
        <v>0.15384615384615385</v>
      </c>
    </row>
    <row r="915" spans="1:9">
      <c r="A915">
        <v>2018</v>
      </c>
      <c r="B915" s="1">
        <v>43191</v>
      </c>
      <c r="C915" s="2" t="s">
        <v>58</v>
      </c>
      <c r="D915">
        <v>24</v>
      </c>
      <c r="E915">
        <v>23</v>
      </c>
      <c r="F915">
        <v>3427.97</v>
      </c>
      <c r="G915">
        <v>0.21825096887327314</v>
      </c>
      <c r="H915">
        <v>4</v>
      </c>
      <c r="I915">
        <v>0</v>
      </c>
    </row>
    <row r="916" spans="1:9">
      <c r="A916">
        <v>2018</v>
      </c>
      <c r="B916" s="1">
        <v>43221</v>
      </c>
      <c r="C916" s="2" t="s">
        <v>58</v>
      </c>
      <c r="D916">
        <v>29</v>
      </c>
      <c r="E916">
        <v>25</v>
      </c>
      <c r="F916">
        <v>7902.11</v>
      </c>
      <c r="G916">
        <v>0.13188363865587219</v>
      </c>
      <c r="H916">
        <v>3.2758620689655173</v>
      </c>
      <c r="I916">
        <v>0.08</v>
      </c>
    </row>
    <row r="917" spans="1:9">
      <c r="A917">
        <v>2018</v>
      </c>
      <c r="B917" s="1">
        <v>43252</v>
      </c>
      <c r="C917" s="2" t="s">
        <v>58</v>
      </c>
      <c r="D917">
        <v>16</v>
      </c>
      <c r="E917">
        <v>16</v>
      </c>
      <c r="F917">
        <v>2972.88</v>
      </c>
      <c r="G917">
        <v>0.22434803137413353</v>
      </c>
      <c r="H917">
        <v>4.125</v>
      </c>
      <c r="I917">
        <v>0</v>
      </c>
    </row>
    <row r="918" spans="1:9">
      <c r="A918">
        <v>2018</v>
      </c>
      <c r="B918" s="1">
        <v>43282</v>
      </c>
      <c r="C918" s="2" t="s">
        <v>58</v>
      </c>
      <c r="D918">
        <v>15</v>
      </c>
      <c r="E918">
        <v>15</v>
      </c>
      <c r="F918">
        <v>2142.9</v>
      </c>
      <c r="G918">
        <v>0.18164855887909601</v>
      </c>
      <c r="H918">
        <v>4.2666666666666666</v>
      </c>
      <c r="I918">
        <v>0</v>
      </c>
    </row>
    <row r="919" spans="1:9">
      <c r="A919">
        <v>2018</v>
      </c>
      <c r="B919" s="1">
        <v>43313</v>
      </c>
      <c r="C919" s="2" t="s">
        <v>58</v>
      </c>
      <c r="D919">
        <v>26</v>
      </c>
      <c r="E919">
        <v>22</v>
      </c>
      <c r="F919">
        <v>4596.59</v>
      </c>
      <c r="G919">
        <v>0.13449531582057753</v>
      </c>
      <c r="H919">
        <v>3.9230769230769229</v>
      </c>
      <c r="I919">
        <v>0</v>
      </c>
    </row>
    <row r="920" spans="1:9">
      <c r="A920">
        <v>2017</v>
      </c>
      <c r="B920" s="1">
        <v>42917</v>
      </c>
      <c r="C920" s="2" t="s">
        <v>77</v>
      </c>
      <c r="D920">
        <v>1</v>
      </c>
      <c r="E920">
        <v>1</v>
      </c>
      <c r="F920">
        <v>401.45</v>
      </c>
      <c r="G920">
        <v>0.10325071615394196</v>
      </c>
      <c r="H920">
        <v>5</v>
      </c>
      <c r="I920">
        <v>0</v>
      </c>
    </row>
    <row r="921" spans="1:9">
      <c r="A921">
        <v>2017</v>
      </c>
      <c r="B921" s="1">
        <v>42948</v>
      </c>
      <c r="C921" s="2" t="s">
        <v>77</v>
      </c>
      <c r="D921">
        <v>2</v>
      </c>
      <c r="E921">
        <v>2</v>
      </c>
      <c r="F921">
        <v>670.98</v>
      </c>
      <c r="G921">
        <v>0.12681179372420875</v>
      </c>
      <c r="H921">
        <v>5</v>
      </c>
      <c r="I921">
        <v>0</v>
      </c>
    </row>
    <row r="922" spans="1:9">
      <c r="A922">
        <v>2017</v>
      </c>
      <c r="B922" s="1">
        <v>42979</v>
      </c>
      <c r="C922" s="2" t="s">
        <v>77</v>
      </c>
      <c r="D922">
        <v>1</v>
      </c>
      <c r="E922">
        <v>1</v>
      </c>
      <c r="F922">
        <v>258.98</v>
      </c>
      <c r="G922">
        <v>0.11576183489072515</v>
      </c>
      <c r="H922">
        <v>1</v>
      </c>
      <c r="I922">
        <v>0</v>
      </c>
    </row>
    <row r="923" spans="1:9">
      <c r="A923">
        <v>2017</v>
      </c>
      <c r="B923" s="1">
        <v>43009</v>
      </c>
      <c r="C923" s="2" t="s">
        <v>77</v>
      </c>
      <c r="D923">
        <v>2</v>
      </c>
      <c r="E923">
        <v>2</v>
      </c>
      <c r="F923">
        <v>651.1</v>
      </c>
      <c r="G923">
        <v>0.23183743259140463</v>
      </c>
      <c r="H923">
        <v>3.5</v>
      </c>
      <c r="I923">
        <v>0.5</v>
      </c>
    </row>
    <row r="924" spans="1:9">
      <c r="A924">
        <v>2017</v>
      </c>
      <c r="B924" s="1">
        <v>43040</v>
      </c>
      <c r="C924" s="2" t="s">
        <v>77</v>
      </c>
      <c r="D924">
        <v>10</v>
      </c>
      <c r="E924">
        <v>9</v>
      </c>
      <c r="F924">
        <v>2606.9899999999998</v>
      </c>
      <c r="G924">
        <v>0.17606205032324518</v>
      </c>
      <c r="H924">
        <v>3.4</v>
      </c>
      <c r="I924">
        <v>0.33333333333333331</v>
      </c>
    </row>
    <row r="925" spans="1:9">
      <c r="A925">
        <v>2017</v>
      </c>
      <c r="B925" s="1">
        <v>43070</v>
      </c>
      <c r="C925" s="2" t="s">
        <v>77</v>
      </c>
      <c r="D925">
        <v>2</v>
      </c>
      <c r="E925">
        <v>2</v>
      </c>
      <c r="F925">
        <v>206.46</v>
      </c>
      <c r="G925">
        <v>0.14577893213057219</v>
      </c>
      <c r="H925">
        <v>4</v>
      </c>
      <c r="I925">
        <v>0.5</v>
      </c>
    </row>
    <row r="926" spans="1:9">
      <c r="A926">
        <v>2018</v>
      </c>
      <c r="B926" s="1">
        <v>43101</v>
      </c>
      <c r="C926" s="2" t="s">
        <v>77</v>
      </c>
      <c r="D926">
        <v>7</v>
      </c>
      <c r="E926">
        <v>6</v>
      </c>
      <c r="F926">
        <v>2554.77</v>
      </c>
      <c r="G926">
        <v>0.11300656010380936</v>
      </c>
      <c r="H926">
        <v>4.1428571428571432</v>
      </c>
      <c r="I926">
        <v>0</v>
      </c>
    </row>
    <row r="927" spans="1:9">
      <c r="A927">
        <v>2018</v>
      </c>
      <c r="B927" s="1">
        <v>43132</v>
      </c>
      <c r="C927" s="2" t="s">
        <v>77</v>
      </c>
      <c r="D927">
        <v>17</v>
      </c>
      <c r="E927">
        <v>9</v>
      </c>
      <c r="F927">
        <v>1967.47</v>
      </c>
      <c r="G927">
        <v>0.22574017575522301</v>
      </c>
      <c r="H927">
        <v>3.8823529411764706</v>
      </c>
      <c r="I927">
        <v>0</v>
      </c>
    </row>
    <row r="928" spans="1:9">
      <c r="A928">
        <v>2018</v>
      </c>
      <c r="B928" s="1">
        <v>43160</v>
      </c>
      <c r="C928" s="2" t="s">
        <v>77</v>
      </c>
      <c r="D928">
        <v>13</v>
      </c>
      <c r="E928">
        <v>12</v>
      </c>
      <c r="F928">
        <v>3138.15</v>
      </c>
      <c r="G928">
        <v>0.21104652538956245</v>
      </c>
      <c r="H928">
        <v>3.2307692307692308</v>
      </c>
      <c r="I928">
        <v>0.41666666666666669</v>
      </c>
    </row>
    <row r="929" spans="1:9">
      <c r="A929">
        <v>2018</v>
      </c>
      <c r="B929" s="1">
        <v>43191</v>
      </c>
      <c r="C929" s="2" t="s">
        <v>77</v>
      </c>
      <c r="D929">
        <v>47</v>
      </c>
      <c r="E929">
        <v>37</v>
      </c>
      <c r="F929">
        <v>5827.5</v>
      </c>
      <c r="G929">
        <v>0.17675316668540247</v>
      </c>
      <c r="H929">
        <v>3.5853658536585367</v>
      </c>
      <c r="I929">
        <v>0</v>
      </c>
    </row>
    <row r="930" spans="1:9">
      <c r="A930">
        <v>2018</v>
      </c>
      <c r="B930" s="1">
        <v>43221</v>
      </c>
      <c r="C930" s="2" t="s">
        <v>77</v>
      </c>
      <c r="D930">
        <v>41</v>
      </c>
      <c r="E930">
        <v>32</v>
      </c>
      <c r="F930">
        <v>6321.37</v>
      </c>
      <c r="G930">
        <v>0.15483482651892796</v>
      </c>
      <c r="H930">
        <v>4.2631578947368425</v>
      </c>
      <c r="I930">
        <v>6.25E-2</v>
      </c>
    </row>
    <row r="931" spans="1:9">
      <c r="A931">
        <v>2018</v>
      </c>
      <c r="B931" s="1">
        <v>43252</v>
      </c>
      <c r="C931" s="2" t="s">
        <v>77</v>
      </c>
      <c r="D931">
        <v>44</v>
      </c>
      <c r="E931">
        <v>35</v>
      </c>
      <c r="F931">
        <v>5538.59</v>
      </c>
      <c r="G931">
        <v>0.19457586435386415</v>
      </c>
      <c r="H931">
        <v>4.0909090909090908</v>
      </c>
      <c r="I931">
        <v>0</v>
      </c>
    </row>
    <row r="932" spans="1:9">
      <c r="A932">
        <v>2018</v>
      </c>
      <c r="B932" s="1">
        <v>43282</v>
      </c>
      <c r="C932" s="2" t="s">
        <v>77</v>
      </c>
      <c r="D932">
        <v>55</v>
      </c>
      <c r="E932">
        <v>40</v>
      </c>
      <c r="F932">
        <v>8631.4</v>
      </c>
      <c r="G932">
        <v>0.21137698796304791</v>
      </c>
      <c r="H932">
        <v>4.7222222222222223</v>
      </c>
      <c r="I932">
        <v>0.15</v>
      </c>
    </row>
    <row r="933" spans="1:9">
      <c r="A933">
        <v>2018</v>
      </c>
      <c r="B933" s="1">
        <v>43313</v>
      </c>
      <c r="C933" s="2" t="s">
        <v>77</v>
      </c>
      <c r="D933">
        <v>62</v>
      </c>
      <c r="E933">
        <v>56</v>
      </c>
      <c r="F933">
        <v>9888.59</v>
      </c>
      <c r="G933">
        <v>0.20501159642454289</v>
      </c>
      <c r="H933">
        <v>3.935483870967742</v>
      </c>
      <c r="I933">
        <v>7.1428571428571425E-2</v>
      </c>
    </row>
    <row r="934" spans="1:9">
      <c r="A934">
        <v>2017</v>
      </c>
      <c r="B934" s="1">
        <v>42736</v>
      </c>
      <c r="C934" s="2" t="s">
        <v>42</v>
      </c>
      <c r="D934">
        <v>1</v>
      </c>
      <c r="E934">
        <v>1</v>
      </c>
      <c r="F934">
        <v>335</v>
      </c>
      <c r="G934">
        <v>7.4626865671641784E-2</v>
      </c>
      <c r="H934">
        <v>1</v>
      </c>
      <c r="I934">
        <v>0</v>
      </c>
    </row>
    <row r="935" spans="1:9">
      <c r="A935">
        <v>2017</v>
      </c>
      <c r="B935" s="1">
        <v>42767</v>
      </c>
      <c r="C935" s="2" t="s">
        <v>42</v>
      </c>
      <c r="D935">
        <v>3</v>
      </c>
      <c r="E935">
        <v>3</v>
      </c>
      <c r="F935">
        <v>393.57</v>
      </c>
      <c r="G935">
        <v>0.17632605527647288</v>
      </c>
      <c r="H935">
        <v>5</v>
      </c>
      <c r="I935">
        <v>0</v>
      </c>
    </row>
    <row r="936" spans="1:9">
      <c r="A936">
        <v>2017</v>
      </c>
      <c r="B936" s="1">
        <v>42795</v>
      </c>
      <c r="C936" s="2" t="s">
        <v>42</v>
      </c>
      <c r="D936">
        <v>4</v>
      </c>
      <c r="E936">
        <v>4</v>
      </c>
      <c r="F936">
        <v>895.42</v>
      </c>
      <c r="G936">
        <v>0.15857066608011292</v>
      </c>
      <c r="H936">
        <v>1.75</v>
      </c>
      <c r="I936">
        <v>0</v>
      </c>
    </row>
    <row r="937" spans="1:9">
      <c r="A937">
        <v>2017</v>
      </c>
      <c r="B937" s="1">
        <v>42856</v>
      </c>
      <c r="C937" s="2" t="s">
        <v>42</v>
      </c>
      <c r="D937">
        <v>1</v>
      </c>
      <c r="E937">
        <v>1</v>
      </c>
      <c r="F937">
        <v>149.4</v>
      </c>
      <c r="G937">
        <v>0.33072289156626505</v>
      </c>
      <c r="H937">
        <v>5</v>
      </c>
      <c r="I937">
        <v>0</v>
      </c>
    </row>
    <row r="938" spans="1:9">
      <c r="A938">
        <v>2017</v>
      </c>
      <c r="B938" s="1">
        <v>42887</v>
      </c>
      <c r="C938" s="2" t="s">
        <v>42</v>
      </c>
      <c r="D938">
        <v>8</v>
      </c>
      <c r="E938">
        <v>4</v>
      </c>
      <c r="F938">
        <v>475.31</v>
      </c>
      <c r="G938">
        <v>0.18736340513160571</v>
      </c>
      <c r="H938">
        <v>3</v>
      </c>
      <c r="I938">
        <v>0</v>
      </c>
    </row>
    <row r="939" spans="1:9">
      <c r="A939">
        <v>2017</v>
      </c>
      <c r="B939" s="1">
        <v>42917</v>
      </c>
      <c r="C939" s="2" t="s">
        <v>42</v>
      </c>
      <c r="D939">
        <v>6</v>
      </c>
      <c r="E939">
        <v>5</v>
      </c>
      <c r="F939">
        <v>822.97</v>
      </c>
      <c r="G939">
        <v>0.32305731495406326</v>
      </c>
      <c r="H939">
        <v>4.666666666666667</v>
      </c>
      <c r="I939">
        <v>0</v>
      </c>
    </row>
    <row r="940" spans="1:9">
      <c r="A940">
        <v>2017</v>
      </c>
      <c r="B940" s="1">
        <v>42948</v>
      </c>
      <c r="C940" s="2" t="s">
        <v>42</v>
      </c>
      <c r="D940">
        <v>7</v>
      </c>
      <c r="E940">
        <v>6</v>
      </c>
      <c r="F940">
        <v>1394.33</v>
      </c>
      <c r="G940">
        <v>0.20056235309705386</v>
      </c>
      <c r="H940">
        <v>3.8571428571428572</v>
      </c>
      <c r="I940">
        <v>0.16666666666666666</v>
      </c>
    </row>
    <row r="941" spans="1:9">
      <c r="A941">
        <v>2017</v>
      </c>
      <c r="B941" s="1">
        <v>42979</v>
      </c>
      <c r="C941" s="2" t="s">
        <v>42</v>
      </c>
      <c r="D941">
        <v>11</v>
      </c>
      <c r="E941">
        <v>8</v>
      </c>
      <c r="F941">
        <v>1487.04</v>
      </c>
      <c r="G941">
        <v>0.17229999397833867</v>
      </c>
      <c r="H941">
        <v>4.1818181818181817</v>
      </c>
      <c r="I941">
        <v>0</v>
      </c>
    </row>
    <row r="942" spans="1:9">
      <c r="A942">
        <v>2017</v>
      </c>
      <c r="B942" s="1">
        <v>43009</v>
      </c>
      <c r="C942" s="2" t="s">
        <v>42</v>
      </c>
      <c r="D942">
        <v>19</v>
      </c>
      <c r="E942">
        <v>15</v>
      </c>
      <c r="F942">
        <v>3024.83</v>
      </c>
      <c r="G942">
        <v>0.16662264434948015</v>
      </c>
      <c r="H942">
        <v>4.2105263157894735</v>
      </c>
      <c r="I942">
        <v>0</v>
      </c>
    </row>
    <row r="943" spans="1:9">
      <c r="A943">
        <v>2017</v>
      </c>
      <c r="B943" s="1">
        <v>43040</v>
      </c>
      <c r="C943" s="2" t="s">
        <v>42</v>
      </c>
      <c r="D943">
        <v>47</v>
      </c>
      <c r="E943">
        <v>36</v>
      </c>
      <c r="F943">
        <v>8596.2900000000009</v>
      </c>
      <c r="G943">
        <v>0.22533700138163754</v>
      </c>
      <c r="H943">
        <v>4.2391304347826084</v>
      </c>
      <c r="I943">
        <v>0.16666666666666666</v>
      </c>
    </row>
    <row r="944" spans="1:9">
      <c r="A944">
        <v>2017</v>
      </c>
      <c r="B944" s="1">
        <v>43070</v>
      </c>
      <c r="C944" s="2" t="s">
        <v>42</v>
      </c>
      <c r="D944">
        <v>27</v>
      </c>
      <c r="E944">
        <v>22</v>
      </c>
      <c r="F944">
        <v>6566.5</v>
      </c>
      <c r="G944">
        <v>0.16726276096788437</v>
      </c>
      <c r="H944">
        <v>3.5769230769230771</v>
      </c>
      <c r="I944">
        <v>0.22727272727272727</v>
      </c>
    </row>
    <row r="945" spans="1:9">
      <c r="A945">
        <v>2018</v>
      </c>
      <c r="B945" s="1">
        <v>43101</v>
      </c>
      <c r="C945" s="2" t="s">
        <v>42</v>
      </c>
      <c r="D945">
        <v>50</v>
      </c>
      <c r="E945">
        <v>40</v>
      </c>
      <c r="F945">
        <v>11624.76</v>
      </c>
      <c r="G945">
        <v>0.16712936101122136</v>
      </c>
      <c r="H945">
        <v>4.1224489795918364</v>
      </c>
      <c r="I945">
        <v>7.4999999999999997E-2</v>
      </c>
    </row>
    <row r="946" spans="1:9">
      <c r="A946">
        <v>2018</v>
      </c>
      <c r="B946" s="1">
        <v>43132</v>
      </c>
      <c r="C946" s="2" t="s">
        <v>42</v>
      </c>
      <c r="D946">
        <v>69</v>
      </c>
      <c r="E946">
        <v>54</v>
      </c>
      <c r="F946">
        <v>10145.26</v>
      </c>
      <c r="G946">
        <v>0.18685154388441835</v>
      </c>
      <c r="H946">
        <v>3.8235294117647061</v>
      </c>
      <c r="I946">
        <v>0.18518518518518517</v>
      </c>
    </row>
    <row r="947" spans="1:9">
      <c r="A947">
        <v>2018</v>
      </c>
      <c r="B947" s="1">
        <v>43160</v>
      </c>
      <c r="C947" s="2" t="s">
        <v>42</v>
      </c>
      <c r="D947">
        <v>71</v>
      </c>
      <c r="E947">
        <v>52</v>
      </c>
      <c r="F947">
        <v>12244.21</v>
      </c>
      <c r="G947">
        <v>0.21734370660100319</v>
      </c>
      <c r="H947">
        <v>3.3571428571428572</v>
      </c>
      <c r="I947">
        <v>0.11538461538461539</v>
      </c>
    </row>
    <row r="948" spans="1:9">
      <c r="A948">
        <v>2018</v>
      </c>
      <c r="B948" s="1">
        <v>43191</v>
      </c>
      <c r="C948" s="2" t="s">
        <v>42</v>
      </c>
      <c r="D948">
        <v>92</v>
      </c>
      <c r="E948">
        <v>78</v>
      </c>
      <c r="F948">
        <v>15576.76</v>
      </c>
      <c r="G948">
        <v>0.22806126533425239</v>
      </c>
      <c r="H948">
        <v>4.0989010989010985</v>
      </c>
      <c r="I948">
        <v>5.128205128205128E-2</v>
      </c>
    </row>
    <row r="949" spans="1:9">
      <c r="A949">
        <v>2018</v>
      </c>
      <c r="B949" s="1">
        <v>43221</v>
      </c>
      <c r="C949" s="2" t="s">
        <v>42</v>
      </c>
      <c r="D949">
        <v>125</v>
      </c>
      <c r="E949">
        <v>89</v>
      </c>
      <c r="F949">
        <v>23580.34</v>
      </c>
      <c r="G949">
        <v>0.20202526761197159</v>
      </c>
      <c r="H949">
        <v>4.1120000000000001</v>
      </c>
      <c r="I949">
        <v>4.49438202247191E-2</v>
      </c>
    </row>
    <row r="950" spans="1:9">
      <c r="A950">
        <v>2018</v>
      </c>
      <c r="B950" s="1">
        <v>43252</v>
      </c>
      <c r="C950" s="2" t="s">
        <v>42</v>
      </c>
      <c r="D950">
        <v>113</v>
      </c>
      <c r="E950">
        <v>108</v>
      </c>
      <c r="F950">
        <v>25372.45</v>
      </c>
      <c r="G950">
        <v>0.20556413318548547</v>
      </c>
      <c r="H950">
        <v>4.2123893805309738</v>
      </c>
      <c r="I950">
        <v>9.2592592592592587E-3</v>
      </c>
    </row>
    <row r="951" spans="1:9">
      <c r="A951">
        <v>2018</v>
      </c>
      <c r="B951" s="1">
        <v>43282</v>
      </c>
      <c r="C951" s="2" t="s">
        <v>42</v>
      </c>
      <c r="D951">
        <v>115</v>
      </c>
      <c r="E951">
        <v>98</v>
      </c>
      <c r="F951">
        <v>17589.95</v>
      </c>
      <c r="G951">
        <v>0.22162459867968751</v>
      </c>
      <c r="H951">
        <v>4.3245614035087723</v>
      </c>
      <c r="I951">
        <v>4.0816326530612242E-2</v>
      </c>
    </row>
    <row r="952" spans="1:9">
      <c r="A952">
        <v>2018</v>
      </c>
      <c r="B952" s="1">
        <v>43313</v>
      </c>
      <c r="C952" s="2" t="s">
        <v>42</v>
      </c>
      <c r="D952">
        <v>162</v>
      </c>
      <c r="E952">
        <v>124</v>
      </c>
      <c r="F952">
        <v>25925.05</v>
      </c>
      <c r="G952">
        <v>0.19215451496349567</v>
      </c>
      <c r="H952">
        <v>4.1614906832298137</v>
      </c>
      <c r="I952">
        <v>0.11290322580645161</v>
      </c>
    </row>
    <row r="953" spans="1:9">
      <c r="A953">
        <v>2017</v>
      </c>
      <c r="B953" s="1">
        <v>42736</v>
      </c>
      <c r="C953" s="2" t="s">
        <v>20</v>
      </c>
      <c r="D953">
        <v>23</v>
      </c>
      <c r="E953">
        <v>21</v>
      </c>
      <c r="F953">
        <v>6393.53</v>
      </c>
      <c r="G953">
        <v>0.1364948016750073</v>
      </c>
      <c r="H953">
        <v>4.1818181818181817</v>
      </c>
      <c r="I953">
        <v>9.5238095238095233E-2</v>
      </c>
    </row>
    <row r="954" spans="1:9">
      <c r="A954">
        <v>2017</v>
      </c>
      <c r="B954" s="1">
        <v>42767</v>
      </c>
      <c r="C954" s="2" t="s">
        <v>20</v>
      </c>
      <c r="D954">
        <v>18</v>
      </c>
      <c r="E954">
        <v>18</v>
      </c>
      <c r="F954">
        <v>4637.96</v>
      </c>
      <c r="G954">
        <v>0.12077000293139212</v>
      </c>
      <c r="H954">
        <v>4.1111111111111107</v>
      </c>
      <c r="I954">
        <v>0</v>
      </c>
    </row>
    <row r="955" spans="1:9">
      <c r="A955">
        <v>2017</v>
      </c>
      <c r="B955" s="1">
        <v>42795</v>
      </c>
      <c r="C955" s="2" t="s">
        <v>20</v>
      </c>
      <c r="D955">
        <v>50</v>
      </c>
      <c r="E955">
        <v>48</v>
      </c>
      <c r="F955">
        <v>11743.86</v>
      </c>
      <c r="G955">
        <v>0.14174614227775259</v>
      </c>
      <c r="H955">
        <v>3.8571428571428572</v>
      </c>
      <c r="I955">
        <v>8.3333333333333329E-2</v>
      </c>
    </row>
    <row r="956" spans="1:9">
      <c r="A956">
        <v>2017</v>
      </c>
      <c r="B956" s="1">
        <v>42826</v>
      </c>
      <c r="C956" s="2" t="s">
        <v>20</v>
      </c>
      <c r="D956">
        <v>17</v>
      </c>
      <c r="E956">
        <v>15</v>
      </c>
      <c r="F956">
        <v>4072.8</v>
      </c>
      <c r="G956">
        <v>0.18465920814798084</v>
      </c>
      <c r="H956">
        <v>4.1764705882352944</v>
      </c>
      <c r="I956">
        <v>0</v>
      </c>
    </row>
    <row r="957" spans="1:9">
      <c r="A957">
        <v>2017</v>
      </c>
      <c r="B957" s="1">
        <v>42856</v>
      </c>
      <c r="C957" s="2" t="s">
        <v>20</v>
      </c>
      <c r="D957">
        <v>29</v>
      </c>
      <c r="E957">
        <v>26</v>
      </c>
      <c r="F957">
        <v>2947.24</v>
      </c>
      <c r="G957">
        <v>0.22939448564878662</v>
      </c>
      <c r="H957">
        <v>4.1379310344827589</v>
      </c>
      <c r="I957">
        <v>0</v>
      </c>
    </row>
    <row r="958" spans="1:9">
      <c r="A958">
        <v>2017</v>
      </c>
      <c r="B958" s="1">
        <v>42887</v>
      </c>
      <c r="C958" s="2" t="s">
        <v>20</v>
      </c>
      <c r="D958">
        <v>30</v>
      </c>
      <c r="E958">
        <v>27</v>
      </c>
      <c r="F958">
        <v>5954.62</v>
      </c>
      <c r="G958">
        <v>0.22196318818833488</v>
      </c>
      <c r="H958">
        <v>4.2758620689655169</v>
      </c>
      <c r="I958">
        <v>3.7037037037037035E-2</v>
      </c>
    </row>
    <row r="959" spans="1:9">
      <c r="A959">
        <v>2017</v>
      </c>
      <c r="B959" s="1">
        <v>42917</v>
      </c>
      <c r="C959" s="2" t="s">
        <v>20</v>
      </c>
      <c r="D959">
        <v>48</v>
      </c>
      <c r="E959">
        <v>46</v>
      </c>
      <c r="F959">
        <v>6553.58</v>
      </c>
      <c r="G959">
        <v>0.27744199503167805</v>
      </c>
      <c r="H959">
        <v>4.25</v>
      </c>
      <c r="I959">
        <v>0.10869565217391304</v>
      </c>
    </row>
    <row r="960" spans="1:9">
      <c r="A960">
        <v>2017</v>
      </c>
      <c r="B960" s="1">
        <v>42948</v>
      </c>
      <c r="C960" s="2" t="s">
        <v>20</v>
      </c>
      <c r="D960">
        <v>91</v>
      </c>
      <c r="E960">
        <v>85</v>
      </c>
      <c r="F960">
        <v>10953.59</v>
      </c>
      <c r="G960">
        <v>0.28789395332573914</v>
      </c>
      <c r="H960">
        <v>4.2222222222222223</v>
      </c>
      <c r="I960">
        <v>1.1764705882352941E-2</v>
      </c>
    </row>
    <row r="961" spans="1:9">
      <c r="A961">
        <v>2017</v>
      </c>
      <c r="B961" s="1">
        <v>42979</v>
      </c>
      <c r="C961" s="2" t="s">
        <v>20</v>
      </c>
      <c r="D961">
        <v>66</v>
      </c>
      <c r="E961">
        <v>61</v>
      </c>
      <c r="F961">
        <v>10021.32</v>
      </c>
      <c r="G961">
        <v>0.2629755550268898</v>
      </c>
      <c r="H961">
        <v>4.2424242424242422</v>
      </c>
      <c r="I961">
        <v>4.9180327868852458E-2</v>
      </c>
    </row>
    <row r="962" spans="1:9">
      <c r="A962">
        <v>2017</v>
      </c>
      <c r="B962" s="1">
        <v>43009</v>
      </c>
      <c r="C962" s="2" t="s">
        <v>20</v>
      </c>
      <c r="D962">
        <v>109</v>
      </c>
      <c r="E962">
        <v>101</v>
      </c>
      <c r="F962">
        <v>12297.05</v>
      </c>
      <c r="G962">
        <v>0.26657085110912832</v>
      </c>
      <c r="H962">
        <v>3.9816513761467891</v>
      </c>
      <c r="I962">
        <v>3.9603960396039604E-2</v>
      </c>
    </row>
    <row r="963" spans="1:9">
      <c r="A963">
        <v>2017</v>
      </c>
      <c r="B963" s="1">
        <v>43040</v>
      </c>
      <c r="C963" s="2" t="s">
        <v>20</v>
      </c>
      <c r="D963">
        <v>134</v>
      </c>
      <c r="E963">
        <v>129</v>
      </c>
      <c r="F963">
        <v>14802.59</v>
      </c>
      <c r="G963">
        <v>0.26553775316676465</v>
      </c>
      <c r="H963">
        <v>4.0375939849624061</v>
      </c>
      <c r="I963">
        <v>8.5271317829457363E-2</v>
      </c>
    </row>
    <row r="964" spans="1:9">
      <c r="A964">
        <v>2017</v>
      </c>
      <c r="B964" s="1">
        <v>43070</v>
      </c>
      <c r="C964" s="2" t="s">
        <v>20</v>
      </c>
      <c r="D964">
        <v>93</v>
      </c>
      <c r="E964">
        <v>88</v>
      </c>
      <c r="F964">
        <v>10409.48</v>
      </c>
      <c r="G964">
        <v>0.23083459053771802</v>
      </c>
      <c r="H964">
        <v>4.172043010752688</v>
      </c>
      <c r="I964">
        <v>7.9545454545454544E-2</v>
      </c>
    </row>
    <row r="965" spans="1:9">
      <c r="A965">
        <v>2018</v>
      </c>
      <c r="B965" s="1">
        <v>43101</v>
      </c>
      <c r="C965" s="2" t="s">
        <v>20</v>
      </c>
      <c r="D965">
        <v>54</v>
      </c>
      <c r="E965">
        <v>53</v>
      </c>
      <c r="F965">
        <v>9082.49</v>
      </c>
      <c r="G965">
        <v>0.19313676863893908</v>
      </c>
      <c r="H965">
        <v>4</v>
      </c>
      <c r="I965">
        <v>1.8867924528301886E-2</v>
      </c>
    </row>
    <row r="966" spans="1:9">
      <c r="A966">
        <v>2018</v>
      </c>
      <c r="B966" s="1">
        <v>43132</v>
      </c>
      <c r="C966" s="2" t="s">
        <v>20</v>
      </c>
      <c r="D966">
        <v>52</v>
      </c>
      <c r="E966">
        <v>51</v>
      </c>
      <c r="F966">
        <v>13015.83</v>
      </c>
      <c r="G966">
        <v>0.15803868192798026</v>
      </c>
      <c r="H966">
        <v>3.5961538461538463</v>
      </c>
      <c r="I966">
        <v>0.13725490196078433</v>
      </c>
    </row>
    <row r="967" spans="1:9">
      <c r="A967">
        <v>2018</v>
      </c>
      <c r="B967" s="1">
        <v>43160</v>
      </c>
      <c r="C967" s="2" t="s">
        <v>20</v>
      </c>
      <c r="D967">
        <v>58</v>
      </c>
      <c r="E967">
        <v>54</v>
      </c>
      <c r="F967">
        <v>13078.06</v>
      </c>
      <c r="G967">
        <v>0.23831145821791644</v>
      </c>
      <c r="H967">
        <v>3.6666666666666665</v>
      </c>
      <c r="I967">
        <v>0.24074074074074073</v>
      </c>
    </row>
    <row r="968" spans="1:9">
      <c r="A968">
        <v>2018</v>
      </c>
      <c r="B968" s="1">
        <v>43191</v>
      </c>
      <c r="C968" s="2" t="s">
        <v>20</v>
      </c>
      <c r="D968">
        <v>48</v>
      </c>
      <c r="E968">
        <v>43</v>
      </c>
      <c r="F968">
        <v>8110.5</v>
      </c>
      <c r="G968">
        <v>0.2405668266146006</v>
      </c>
      <c r="H968">
        <v>3.7446808510638299</v>
      </c>
      <c r="I968">
        <v>4.6511627906976744E-2</v>
      </c>
    </row>
    <row r="969" spans="1:9">
      <c r="A969">
        <v>2018</v>
      </c>
      <c r="B969" s="1">
        <v>43221</v>
      </c>
      <c r="C969" s="2" t="s">
        <v>20</v>
      </c>
      <c r="D969">
        <v>54</v>
      </c>
      <c r="E969">
        <v>40</v>
      </c>
      <c r="F969">
        <v>6671.21</v>
      </c>
      <c r="G969">
        <v>0.26805150122373778</v>
      </c>
      <c r="H969">
        <v>3.6481481481481479</v>
      </c>
      <c r="I969">
        <v>2.5000000000000001E-2</v>
      </c>
    </row>
    <row r="970" spans="1:9">
      <c r="A970">
        <v>2018</v>
      </c>
      <c r="B970" s="1">
        <v>43252</v>
      </c>
      <c r="C970" s="2" t="s">
        <v>20</v>
      </c>
      <c r="D970">
        <v>43</v>
      </c>
      <c r="E970">
        <v>41</v>
      </c>
      <c r="F970">
        <v>7642.03</v>
      </c>
      <c r="G970">
        <v>0.2200523530724656</v>
      </c>
      <c r="H970">
        <v>4.4186046511627906</v>
      </c>
      <c r="I970">
        <v>2.4390243902439025E-2</v>
      </c>
    </row>
    <row r="971" spans="1:9">
      <c r="A971">
        <v>2018</v>
      </c>
      <c r="B971" s="1">
        <v>43282</v>
      </c>
      <c r="C971" s="2" t="s">
        <v>20</v>
      </c>
      <c r="D971">
        <v>49</v>
      </c>
      <c r="E971">
        <v>49</v>
      </c>
      <c r="F971">
        <v>9539.14</v>
      </c>
      <c r="G971">
        <v>0.18866398727148356</v>
      </c>
      <c r="H971">
        <v>4.229166666666667</v>
      </c>
      <c r="I971">
        <v>2.0408163265306121E-2</v>
      </c>
    </row>
    <row r="972" spans="1:9">
      <c r="A972">
        <v>2018</v>
      </c>
      <c r="B972" s="1">
        <v>43313</v>
      </c>
      <c r="C972" s="2" t="s">
        <v>20</v>
      </c>
      <c r="D972">
        <v>62</v>
      </c>
      <c r="E972">
        <v>56</v>
      </c>
      <c r="F972">
        <v>5828.24</v>
      </c>
      <c r="G972">
        <v>0.21208093964688823</v>
      </c>
      <c r="H972">
        <v>3.9193548387096775</v>
      </c>
      <c r="I972">
        <v>0</v>
      </c>
    </row>
    <row r="973" spans="1:9">
      <c r="A973">
        <v>2017</v>
      </c>
      <c r="B973" s="1">
        <v>42736</v>
      </c>
      <c r="C973" s="2" t="s">
        <v>19</v>
      </c>
      <c r="D973">
        <v>31</v>
      </c>
      <c r="E973">
        <v>24</v>
      </c>
      <c r="F973">
        <v>4377.6000000000004</v>
      </c>
      <c r="G973">
        <v>0.26013504553268602</v>
      </c>
      <c r="H973">
        <v>4.32258064516129</v>
      </c>
      <c r="I973">
        <v>4.1666666666666664E-2</v>
      </c>
    </row>
    <row r="974" spans="1:9">
      <c r="A974">
        <v>2017</v>
      </c>
      <c r="B974" s="1">
        <v>42767</v>
      </c>
      <c r="C974" s="2" t="s">
        <v>19</v>
      </c>
      <c r="D974">
        <v>106</v>
      </c>
      <c r="E974">
        <v>97</v>
      </c>
      <c r="F974">
        <v>13744.35</v>
      </c>
      <c r="G974">
        <v>0.2672229913377126</v>
      </c>
      <c r="H974">
        <v>3.9615384615384617</v>
      </c>
      <c r="I974">
        <v>5.1546391752577317E-2</v>
      </c>
    </row>
    <row r="975" spans="1:9">
      <c r="A975">
        <v>2017</v>
      </c>
      <c r="B975" s="1">
        <v>42795</v>
      </c>
      <c r="C975" s="2" t="s">
        <v>19</v>
      </c>
      <c r="D975">
        <v>174</v>
      </c>
      <c r="E975">
        <v>150</v>
      </c>
      <c r="F975">
        <v>31873.84</v>
      </c>
      <c r="G975">
        <v>0.24686259976568795</v>
      </c>
      <c r="H975">
        <v>3.8546511627906979</v>
      </c>
      <c r="I975">
        <v>7.3333333333333334E-2</v>
      </c>
    </row>
    <row r="976" spans="1:9">
      <c r="A976">
        <v>2017</v>
      </c>
      <c r="B976" s="1">
        <v>42826</v>
      </c>
      <c r="C976" s="2" t="s">
        <v>19</v>
      </c>
      <c r="D976">
        <v>136</v>
      </c>
      <c r="E976">
        <v>120</v>
      </c>
      <c r="F976">
        <v>23180.46</v>
      </c>
      <c r="G976">
        <v>0.21937832192250137</v>
      </c>
      <c r="H976">
        <v>3.8296296296296295</v>
      </c>
      <c r="I976">
        <v>0.05</v>
      </c>
    </row>
    <row r="977" spans="1:9">
      <c r="A977">
        <v>2017</v>
      </c>
      <c r="B977" s="1">
        <v>42856</v>
      </c>
      <c r="C977" s="2" t="s">
        <v>19</v>
      </c>
      <c r="D977">
        <v>320</v>
      </c>
      <c r="E977">
        <v>260</v>
      </c>
      <c r="F977">
        <v>51306.32</v>
      </c>
      <c r="G977">
        <v>0.19408212044694664</v>
      </c>
      <c r="H977">
        <v>4.2610062893081757</v>
      </c>
      <c r="I977">
        <v>3.0769230769230771E-2</v>
      </c>
    </row>
    <row r="978" spans="1:9">
      <c r="A978">
        <v>2017</v>
      </c>
      <c r="B978" s="1">
        <v>42887</v>
      </c>
      <c r="C978" s="2" t="s">
        <v>19</v>
      </c>
      <c r="D978">
        <v>262</v>
      </c>
      <c r="E978">
        <v>219</v>
      </c>
      <c r="F978">
        <v>41684.93</v>
      </c>
      <c r="G978">
        <v>0.21437716453146516</v>
      </c>
      <c r="H978">
        <v>3.9764705882352942</v>
      </c>
      <c r="I978">
        <v>2.2831050228310501E-2</v>
      </c>
    </row>
    <row r="979" spans="1:9">
      <c r="A979">
        <v>2017</v>
      </c>
      <c r="B979" s="1">
        <v>42917</v>
      </c>
      <c r="C979" s="2" t="s">
        <v>19</v>
      </c>
      <c r="D979">
        <v>326</v>
      </c>
      <c r="E979">
        <v>274</v>
      </c>
      <c r="F979">
        <v>44599.21</v>
      </c>
      <c r="G979">
        <v>0.20741263746714256</v>
      </c>
      <c r="H979">
        <v>4.1121495327102808</v>
      </c>
      <c r="I979">
        <v>4.7445255474452552E-2</v>
      </c>
    </row>
    <row r="980" spans="1:9">
      <c r="A980">
        <v>2017</v>
      </c>
      <c r="B980" s="1">
        <v>42948</v>
      </c>
      <c r="C980" s="2" t="s">
        <v>19</v>
      </c>
      <c r="D980">
        <v>350</v>
      </c>
      <c r="E980">
        <v>297</v>
      </c>
      <c r="F980">
        <v>40946.28</v>
      </c>
      <c r="G980">
        <v>0.22007902139013338</v>
      </c>
      <c r="H980">
        <v>4.2471264367816088</v>
      </c>
      <c r="I980">
        <v>2.6936026936026935E-2</v>
      </c>
    </row>
    <row r="981" spans="1:9">
      <c r="A981">
        <v>2017</v>
      </c>
      <c r="B981" s="1">
        <v>42979</v>
      </c>
      <c r="C981" s="2" t="s">
        <v>19</v>
      </c>
      <c r="D981">
        <v>253</v>
      </c>
      <c r="E981">
        <v>216</v>
      </c>
      <c r="F981">
        <v>33981.360000000001</v>
      </c>
      <c r="G981">
        <v>0.21616952082764476</v>
      </c>
      <c r="H981">
        <v>3.9644268774703555</v>
      </c>
      <c r="I981">
        <v>3.2407407407407406E-2</v>
      </c>
    </row>
    <row r="982" spans="1:9">
      <c r="A982">
        <v>2017</v>
      </c>
      <c r="B982" s="1">
        <v>43009</v>
      </c>
      <c r="C982" s="2" t="s">
        <v>19</v>
      </c>
      <c r="D982">
        <v>322</v>
      </c>
      <c r="E982">
        <v>265</v>
      </c>
      <c r="F982">
        <v>50391.46</v>
      </c>
      <c r="G982">
        <v>0.20169041775607399</v>
      </c>
      <c r="H982">
        <v>4.0377358490566042</v>
      </c>
      <c r="I982">
        <v>4.1509433962264149E-2</v>
      </c>
    </row>
    <row r="983" spans="1:9">
      <c r="A983">
        <v>2017</v>
      </c>
      <c r="B983" s="1">
        <v>43040</v>
      </c>
      <c r="C983" s="2" t="s">
        <v>19</v>
      </c>
      <c r="D983">
        <v>533</v>
      </c>
      <c r="E983">
        <v>444</v>
      </c>
      <c r="F983">
        <v>83945.82</v>
      </c>
      <c r="G983">
        <v>0.19742109876581826</v>
      </c>
      <c r="H983">
        <v>3.7893738140417459</v>
      </c>
      <c r="I983">
        <v>7.6576576576576572E-2</v>
      </c>
    </row>
    <row r="984" spans="1:9">
      <c r="A984">
        <v>2017</v>
      </c>
      <c r="B984" s="1">
        <v>43070</v>
      </c>
      <c r="C984" s="2" t="s">
        <v>19</v>
      </c>
      <c r="D984">
        <v>289</v>
      </c>
      <c r="E984">
        <v>252</v>
      </c>
      <c r="F984">
        <v>43917.64</v>
      </c>
      <c r="G984">
        <v>0.19717498592306151</v>
      </c>
      <c r="H984">
        <v>4.0283687943262407</v>
      </c>
      <c r="I984">
        <v>8.7301587301587297E-2</v>
      </c>
    </row>
    <row r="985" spans="1:9">
      <c r="A985">
        <v>2018</v>
      </c>
      <c r="B985" s="1">
        <v>43101</v>
      </c>
      <c r="C985" s="2" t="s">
        <v>19</v>
      </c>
      <c r="D985">
        <v>720</v>
      </c>
      <c r="E985">
        <v>593</v>
      </c>
      <c r="F985">
        <v>97810.26</v>
      </c>
      <c r="G985">
        <v>0.17817194613827372</v>
      </c>
      <c r="H985">
        <v>3.848354792560801</v>
      </c>
      <c r="I985">
        <v>5.0590219224283306E-2</v>
      </c>
    </row>
    <row r="986" spans="1:9">
      <c r="A986">
        <v>2018</v>
      </c>
      <c r="B986" s="1">
        <v>43132</v>
      </c>
      <c r="C986" s="2" t="s">
        <v>19</v>
      </c>
      <c r="D986">
        <v>994</v>
      </c>
      <c r="E986">
        <v>801</v>
      </c>
      <c r="F986">
        <v>119754.59</v>
      </c>
      <c r="G986">
        <v>0.18421278654741799</v>
      </c>
      <c r="H986">
        <v>3.467357512953368</v>
      </c>
      <c r="I986">
        <v>0.17103620474406991</v>
      </c>
    </row>
    <row r="987" spans="1:9">
      <c r="A987">
        <v>2018</v>
      </c>
      <c r="B987" s="1">
        <v>43160</v>
      </c>
      <c r="C987" s="2" t="s">
        <v>19</v>
      </c>
      <c r="D987">
        <v>760</v>
      </c>
      <c r="E987">
        <v>638</v>
      </c>
      <c r="F987">
        <v>100839.87</v>
      </c>
      <c r="G987">
        <v>0.19263188832576797</v>
      </c>
      <c r="H987">
        <v>3.830238726790451</v>
      </c>
      <c r="I987">
        <v>0.18808777429467086</v>
      </c>
    </row>
    <row r="988" spans="1:9">
      <c r="A988">
        <v>2018</v>
      </c>
      <c r="B988" s="1">
        <v>43191</v>
      </c>
      <c r="C988" s="2" t="s">
        <v>19</v>
      </c>
      <c r="D988">
        <v>544</v>
      </c>
      <c r="E988">
        <v>481</v>
      </c>
      <c r="F988">
        <v>69850.5</v>
      </c>
      <c r="G988">
        <v>0.18342339319275322</v>
      </c>
      <c r="H988">
        <v>3.9554730983302413</v>
      </c>
      <c r="I988">
        <v>3.7422037422037424E-2</v>
      </c>
    </row>
    <row r="989" spans="1:9">
      <c r="A989">
        <v>2018</v>
      </c>
      <c r="B989" s="1">
        <v>43221</v>
      </c>
      <c r="C989" s="2" t="s">
        <v>19</v>
      </c>
      <c r="D989">
        <v>464</v>
      </c>
      <c r="E989">
        <v>409</v>
      </c>
      <c r="F989">
        <v>60055.71</v>
      </c>
      <c r="G989">
        <v>0.20421257260492989</v>
      </c>
      <c r="H989">
        <v>3.9632034632034632</v>
      </c>
      <c r="I989">
        <v>4.4009779951100246E-2</v>
      </c>
    </row>
    <row r="990" spans="1:9">
      <c r="A990">
        <v>2018</v>
      </c>
      <c r="B990" s="1">
        <v>43252</v>
      </c>
      <c r="C990" s="2" t="s">
        <v>19</v>
      </c>
      <c r="D990">
        <v>408</v>
      </c>
      <c r="E990">
        <v>358</v>
      </c>
      <c r="F990">
        <v>51137.98</v>
      </c>
      <c r="G990">
        <v>0.2184443805398347</v>
      </c>
      <c r="H990">
        <v>4.1154791154791157</v>
      </c>
      <c r="I990">
        <v>5.5865921787709499E-3</v>
      </c>
    </row>
    <row r="991" spans="1:9">
      <c r="A991">
        <v>2018</v>
      </c>
      <c r="B991" s="1">
        <v>43282</v>
      </c>
      <c r="C991" s="2" t="s">
        <v>19</v>
      </c>
      <c r="D991">
        <v>427</v>
      </c>
      <c r="E991">
        <v>389</v>
      </c>
      <c r="F991">
        <v>50518.25</v>
      </c>
      <c r="G991">
        <v>0.23291856279868164</v>
      </c>
      <c r="H991">
        <v>4.23943661971831</v>
      </c>
      <c r="I991">
        <v>3.3419023136246784E-2</v>
      </c>
    </row>
    <row r="992" spans="1:9">
      <c r="A992">
        <v>2018</v>
      </c>
      <c r="B992" s="1">
        <v>43313</v>
      </c>
      <c r="C992" s="2" t="s">
        <v>19</v>
      </c>
      <c r="D992">
        <v>419</v>
      </c>
      <c r="E992">
        <v>384</v>
      </c>
      <c r="F992">
        <v>48190.39</v>
      </c>
      <c r="G992">
        <v>0.21847059642903852</v>
      </c>
      <c r="H992">
        <v>4.2740384615384617</v>
      </c>
      <c r="I992">
        <v>6.7708333333333329E-2</v>
      </c>
    </row>
    <row r="993" spans="1:9">
      <c r="A993">
        <v>2017</v>
      </c>
      <c r="B993" s="1">
        <v>42736</v>
      </c>
      <c r="C993" s="2" t="s">
        <v>41</v>
      </c>
      <c r="D993">
        <v>1</v>
      </c>
      <c r="E993">
        <v>1</v>
      </c>
      <c r="F993">
        <v>2217.9899999999998</v>
      </c>
      <c r="G993">
        <v>8.1154558857343805E-3</v>
      </c>
      <c r="H993">
        <v>4</v>
      </c>
      <c r="I993">
        <v>0</v>
      </c>
    </row>
    <row r="994" spans="1:9">
      <c r="A994">
        <v>2017</v>
      </c>
      <c r="B994" s="1">
        <v>42767</v>
      </c>
      <c r="C994" s="2" t="s">
        <v>41</v>
      </c>
      <c r="D994">
        <v>1</v>
      </c>
      <c r="E994">
        <v>1</v>
      </c>
      <c r="F994">
        <v>3602.47</v>
      </c>
      <c r="G994">
        <v>1.4842594109041853E-2</v>
      </c>
      <c r="H994">
        <v>5</v>
      </c>
      <c r="I994">
        <v>0</v>
      </c>
    </row>
    <row r="995" spans="1:9">
      <c r="A995">
        <v>2017</v>
      </c>
      <c r="B995" s="1">
        <v>42948</v>
      </c>
      <c r="C995" s="2" t="s">
        <v>41</v>
      </c>
      <c r="D995">
        <v>29</v>
      </c>
      <c r="E995">
        <v>29</v>
      </c>
      <c r="F995">
        <v>34826</v>
      </c>
      <c r="G995">
        <v>3.272975963130529E-2</v>
      </c>
      <c r="H995">
        <v>4.2068965517241379</v>
      </c>
      <c r="I995">
        <v>3.4482758620689655E-2</v>
      </c>
    </row>
    <row r="996" spans="1:9">
      <c r="A996">
        <v>2017</v>
      </c>
      <c r="B996" s="1">
        <v>42979</v>
      </c>
      <c r="C996" s="2" t="s">
        <v>41</v>
      </c>
      <c r="D996">
        <v>41</v>
      </c>
      <c r="E996">
        <v>40</v>
      </c>
      <c r="F996">
        <v>54631.56</v>
      </c>
      <c r="G996">
        <v>3.3204354643239911E-2</v>
      </c>
      <c r="H996">
        <v>4.4634146341463419</v>
      </c>
      <c r="I996">
        <v>0.05</v>
      </c>
    </row>
    <row r="997" spans="1:9">
      <c r="A997">
        <v>2017</v>
      </c>
      <c r="B997" s="1">
        <v>43009</v>
      </c>
      <c r="C997" s="2" t="s">
        <v>41</v>
      </c>
      <c r="D997">
        <v>27</v>
      </c>
      <c r="E997">
        <v>26</v>
      </c>
      <c r="F997">
        <v>41683.94</v>
      </c>
      <c r="G997">
        <v>3.2676893203741578E-2</v>
      </c>
      <c r="H997">
        <v>4.1923076923076925</v>
      </c>
      <c r="I997">
        <v>0</v>
      </c>
    </row>
    <row r="998" spans="1:9">
      <c r="A998">
        <v>2017</v>
      </c>
      <c r="B998" s="1">
        <v>43040</v>
      </c>
      <c r="C998" s="2" t="s">
        <v>41</v>
      </c>
      <c r="D998">
        <v>7</v>
      </c>
      <c r="E998">
        <v>7</v>
      </c>
      <c r="F998">
        <v>10060.4</v>
      </c>
      <c r="G998">
        <v>2.9113505004892543E-2</v>
      </c>
      <c r="H998">
        <v>4.2857142857142856</v>
      </c>
      <c r="I998">
        <v>0</v>
      </c>
    </row>
    <row r="999" spans="1:9">
      <c r="A999">
        <v>2017</v>
      </c>
      <c r="B999" s="1">
        <v>43070</v>
      </c>
      <c r="C999" s="2" t="s">
        <v>41</v>
      </c>
      <c r="D999">
        <v>23</v>
      </c>
      <c r="E999">
        <v>19</v>
      </c>
      <c r="F999">
        <v>17916.27</v>
      </c>
      <c r="G999">
        <v>7.2879760642004562E-2</v>
      </c>
      <c r="H999">
        <v>3.5</v>
      </c>
      <c r="I999">
        <v>0.10526315789473684</v>
      </c>
    </row>
    <row r="1000" spans="1:9">
      <c r="A1000">
        <v>2018</v>
      </c>
      <c r="B1000" s="1">
        <v>43101</v>
      </c>
      <c r="C1000" s="2" t="s">
        <v>41</v>
      </c>
      <c r="D1000">
        <v>12</v>
      </c>
      <c r="E1000">
        <v>12</v>
      </c>
      <c r="F1000">
        <v>8300.98</v>
      </c>
      <c r="G1000">
        <v>0.10262026501740198</v>
      </c>
      <c r="H1000">
        <v>3.9166666666666665</v>
      </c>
      <c r="I1000">
        <v>8.3333333333333329E-2</v>
      </c>
    </row>
    <row r="1001" spans="1:9">
      <c r="A1001">
        <v>2018</v>
      </c>
      <c r="B1001" s="1">
        <v>43191</v>
      </c>
      <c r="C1001" s="2" t="s">
        <v>41</v>
      </c>
      <c r="D1001">
        <v>15</v>
      </c>
      <c r="E1001">
        <v>13</v>
      </c>
      <c r="F1001">
        <v>14571.61</v>
      </c>
      <c r="G1001">
        <v>6.0487394436466446E-2</v>
      </c>
      <c r="H1001">
        <v>4.0666666666666664</v>
      </c>
      <c r="I1001">
        <v>0</v>
      </c>
    </row>
    <row r="1002" spans="1:9">
      <c r="A1002">
        <v>2018</v>
      </c>
      <c r="B1002" s="1">
        <v>43221</v>
      </c>
      <c r="C1002" s="2" t="s">
        <v>41</v>
      </c>
      <c r="D1002">
        <v>14</v>
      </c>
      <c r="E1002">
        <v>7</v>
      </c>
      <c r="F1002">
        <v>9944.61</v>
      </c>
      <c r="G1002">
        <v>5.2045328638860681E-2</v>
      </c>
      <c r="H1002">
        <v>4.5</v>
      </c>
      <c r="I1002">
        <v>0.14285714285714285</v>
      </c>
    </row>
    <row r="1003" spans="1:9">
      <c r="A1003">
        <v>2018</v>
      </c>
      <c r="B1003" s="1">
        <v>43252</v>
      </c>
      <c r="C1003" s="2" t="s">
        <v>41</v>
      </c>
      <c r="D1003">
        <v>13</v>
      </c>
      <c r="E1003">
        <v>8</v>
      </c>
      <c r="F1003">
        <v>13867.87</v>
      </c>
      <c r="G1003">
        <v>6.4124866236848502E-2</v>
      </c>
      <c r="H1003">
        <v>4.6923076923076925</v>
      </c>
      <c r="I1003">
        <v>0.125</v>
      </c>
    </row>
    <row r="1004" spans="1:9">
      <c r="A1004">
        <v>2018</v>
      </c>
      <c r="B1004" s="1">
        <v>43282</v>
      </c>
      <c r="C1004" s="2" t="s">
        <v>41</v>
      </c>
      <c r="D1004">
        <v>8</v>
      </c>
      <c r="E1004">
        <v>8</v>
      </c>
      <c r="F1004">
        <v>11947.48</v>
      </c>
      <c r="G1004">
        <v>8.9681405116044305E-2</v>
      </c>
      <c r="H1004">
        <v>4.2857142857142856</v>
      </c>
      <c r="I1004">
        <v>0.25</v>
      </c>
    </row>
    <row r="1005" spans="1:9">
      <c r="A1005">
        <v>2018</v>
      </c>
      <c r="B1005" s="1">
        <v>43313</v>
      </c>
      <c r="C1005" s="2" t="s">
        <v>41</v>
      </c>
      <c r="D1005">
        <v>12</v>
      </c>
      <c r="E1005">
        <v>10</v>
      </c>
      <c r="F1005">
        <v>9228.25</v>
      </c>
      <c r="G1005">
        <v>8.225591075350272E-2</v>
      </c>
      <c r="H1005">
        <v>3.5833333333333335</v>
      </c>
      <c r="I1005">
        <v>0</v>
      </c>
    </row>
    <row r="1006" spans="1:9">
      <c r="A1006">
        <v>2017</v>
      </c>
      <c r="B1006" s="1">
        <v>42767</v>
      </c>
      <c r="C1006" s="2" t="s">
        <v>57</v>
      </c>
      <c r="D1006">
        <v>1</v>
      </c>
      <c r="E1006">
        <v>1</v>
      </c>
      <c r="F1006">
        <v>95.24</v>
      </c>
      <c r="G1006">
        <v>0.38051238975220497</v>
      </c>
      <c r="H1006">
        <v>5</v>
      </c>
      <c r="I1006">
        <v>0</v>
      </c>
    </row>
    <row r="1007" spans="1:9">
      <c r="A1007">
        <v>2017</v>
      </c>
      <c r="B1007" s="1">
        <v>42826</v>
      </c>
      <c r="C1007" s="2" t="s">
        <v>57</v>
      </c>
      <c r="D1007">
        <v>2</v>
      </c>
      <c r="E1007">
        <v>2</v>
      </c>
      <c r="F1007">
        <v>166.31</v>
      </c>
      <c r="G1007">
        <v>0.28844846320432965</v>
      </c>
      <c r="H1007">
        <v>5</v>
      </c>
      <c r="I1007">
        <v>0.5</v>
      </c>
    </row>
    <row r="1008" spans="1:9">
      <c r="A1008">
        <v>2017</v>
      </c>
      <c r="B1008" s="1">
        <v>42856</v>
      </c>
      <c r="C1008" s="2" t="s">
        <v>57</v>
      </c>
      <c r="D1008">
        <v>1</v>
      </c>
      <c r="E1008">
        <v>1</v>
      </c>
      <c r="F1008">
        <v>91.71</v>
      </c>
      <c r="G1008">
        <v>0.35666775706029874</v>
      </c>
      <c r="H1008">
        <v>5</v>
      </c>
      <c r="I1008">
        <v>0</v>
      </c>
    </row>
    <row r="1009" spans="1:9">
      <c r="A1009">
        <v>2017</v>
      </c>
      <c r="B1009" s="1">
        <v>42887</v>
      </c>
      <c r="C1009" s="2" t="s">
        <v>57</v>
      </c>
      <c r="D1009">
        <v>1</v>
      </c>
      <c r="E1009">
        <v>1</v>
      </c>
      <c r="F1009">
        <v>112.91</v>
      </c>
      <c r="G1009">
        <v>0.30032769462403686</v>
      </c>
      <c r="H1009">
        <v>5</v>
      </c>
      <c r="I1009">
        <v>0</v>
      </c>
    </row>
    <row r="1010" spans="1:9">
      <c r="A1010">
        <v>2017</v>
      </c>
      <c r="B1010" s="1">
        <v>42979</v>
      </c>
      <c r="C1010" s="2" t="s">
        <v>57</v>
      </c>
      <c r="D1010">
        <v>1</v>
      </c>
      <c r="E1010">
        <v>1</v>
      </c>
      <c r="F1010">
        <v>102.84</v>
      </c>
      <c r="G1010">
        <v>0.32905484247374561</v>
      </c>
      <c r="H1010">
        <v>5</v>
      </c>
      <c r="I1010">
        <v>0</v>
      </c>
    </row>
    <row r="1011" spans="1:9">
      <c r="A1011">
        <v>2017</v>
      </c>
      <c r="B1011" s="1">
        <v>43009</v>
      </c>
      <c r="C1011" s="2" t="s">
        <v>57</v>
      </c>
      <c r="D1011">
        <v>1</v>
      </c>
      <c r="E1011">
        <v>1</v>
      </c>
      <c r="F1011">
        <v>107</v>
      </c>
      <c r="G1011">
        <v>0.35514018691588783</v>
      </c>
      <c r="H1011">
        <v>3</v>
      </c>
      <c r="I1011">
        <v>0</v>
      </c>
    </row>
    <row r="1012" spans="1:9">
      <c r="A1012">
        <v>2017</v>
      </c>
      <c r="B1012" s="1">
        <v>43040</v>
      </c>
      <c r="C1012" s="2" t="s">
        <v>57</v>
      </c>
      <c r="D1012">
        <v>1</v>
      </c>
      <c r="E1012">
        <v>1</v>
      </c>
      <c r="F1012">
        <v>259.94</v>
      </c>
      <c r="G1012">
        <v>6.9015926752327456E-2</v>
      </c>
      <c r="H1012">
        <v>1</v>
      </c>
      <c r="I1012">
        <v>1</v>
      </c>
    </row>
    <row r="1013" spans="1:9">
      <c r="A1013">
        <v>2018</v>
      </c>
      <c r="B1013" s="1">
        <v>43101</v>
      </c>
      <c r="C1013" s="2" t="s">
        <v>57</v>
      </c>
      <c r="D1013">
        <v>2</v>
      </c>
      <c r="E1013">
        <v>2</v>
      </c>
      <c r="F1013">
        <v>223.78</v>
      </c>
      <c r="G1013">
        <v>0.10635445526856735</v>
      </c>
      <c r="H1013">
        <v>5</v>
      </c>
      <c r="I1013">
        <v>0</v>
      </c>
    </row>
    <row r="1014" spans="1:9">
      <c r="A1014">
        <v>2018</v>
      </c>
      <c r="B1014" s="1">
        <v>43132</v>
      </c>
      <c r="C1014" s="2" t="s">
        <v>57</v>
      </c>
      <c r="D1014">
        <v>2</v>
      </c>
      <c r="E1014">
        <v>2</v>
      </c>
      <c r="F1014">
        <v>272.12</v>
      </c>
      <c r="G1014">
        <v>0.1612144722160388</v>
      </c>
      <c r="H1014">
        <v>5</v>
      </c>
      <c r="I1014">
        <v>0</v>
      </c>
    </row>
    <row r="1015" spans="1:9">
      <c r="A1015">
        <v>2018</v>
      </c>
      <c r="B1015" s="1">
        <v>43160</v>
      </c>
      <c r="C1015" s="2" t="s">
        <v>57</v>
      </c>
      <c r="D1015">
        <v>7</v>
      </c>
      <c r="E1015">
        <v>6</v>
      </c>
      <c r="F1015">
        <v>846.54</v>
      </c>
      <c r="G1015">
        <v>0.16579187730485864</v>
      </c>
      <c r="H1015">
        <v>2.2857142857142856</v>
      </c>
      <c r="I1015">
        <v>0</v>
      </c>
    </row>
    <row r="1016" spans="1:9">
      <c r="A1016">
        <v>2018</v>
      </c>
      <c r="B1016" s="1">
        <v>43191</v>
      </c>
      <c r="C1016" s="2" t="s">
        <v>57</v>
      </c>
      <c r="D1016">
        <v>5</v>
      </c>
      <c r="E1016">
        <v>5</v>
      </c>
      <c r="F1016">
        <v>621.13</v>
      </c>
      <c r="G1016">
        <v>0.17914020667868402</v>
      </c>
      <c r="H1016">
        <v>4.4000000000000004</v>
      </c>
      <c r="I1016">
        <v>0.2</v>
      </c>
    </row>
    <row r="1017" spans="1:9">
      <c r="A1017">
        <v>2018</v>
      </c>
      <c r="B1017" s="1">
        <v>43221</v>
      </c>
      <c r="C1017" s="2" t="s">
        <v>57</v>
      </c>
      <c r="D1017">
        <v>18</v>
      </c>
      <c r="E1017">
        <v>17</v>
      </c>
      <c r="F1017">
        <v>2570.88</v>
      </c>
      <c r="G1017">
        <v>0.1550363105726151</v>
      </c>
      <c r="H1017">
        <v>4.5555555555555554</v>
      </c>
      <c r="I1017">
        <v>5.8823529411764705E-2</v>
      </c>
    </row>
    <row r="1018" spans="1:9">
      <c r="A1018">
        <v>2018</v>
      </c>
      <c r="B1018" s="1">
        <v>43252</v>
      </c>
      <c r="C1018" s="2" t="s">
        <v>57</v>
      </c>
      <c r="D1018">
        <v>13</v>
      </c>
      <c r="E1018">
        <v>9</v>
      </c>
      <c r="F1018">
        <v>609.36</v>
      </c>
      <c r="G1018">
        <v>0.41394523364011465</v>
      </c>
      <c r="H1018">
        <v>4.3076923076923075</v>
      </c>
      <c r="I1018">
        <v>0</v>
      </c>
    </row>
    <row r="1019" spans="1:9">
      <c r="A1019">
        <v>2018</v>
      </c>
      <c r="B1019" s="1">
        <v>43282</v>
      </c>
      <c r="C1019" s="2" t="s">
        <v>57</v>
      </c>
      <c r="D1019">
        <v>8</v>
      </c>
      <c r="E1019">
        <v>7</v>
      </c>
      <c r="F1019">
        <v>1314.9</v>
      </c>
      <c r="G1019">
        <v>0.15961696246187093</v>
      </c>
      <c r="H1019">
        <v>4.5</v>
      </c>
      <c r="I1019">
        <v>0</v>
      </c>
    </row>
    <row r="1020" spans="1:9">
      <c r="A1020">
        <v>2018</v>
      </c>
      <c r="B1020" s="1">
        <v>43313</v>
      </c>
      <c r="C1020" s="2" t="s">
        <v>57</v>
      </c>
      <c r="D1020">
        <v>10</v>
      </c>
      <c r="E1020">
        <v>9</v>
      </c>
      <c r="F1020">
        <v>818.29</v>
      </c>
      <c r="G1020">
        <v>0.25462949456333606</v>
      </c>
      <c r="H1020">
        <v>4.0999999999999996</v>
      </c>
      <c r="I1020">
        <v>0</v>
      </c>
    </row>
    <row r="1021" spans="1:9">
      <c r="A1021">
        <v>2017</v>
      </c>
      <c r="B1021" s="1">
        <v>42826</v>
      </c>
      <c r="C1021" s="2" t="s">
        <v>69</v>
      </c>
      <c r="D1021">
        <v>1</v>
      </c>
      <c r="E1021">
        <v>1</v>
      </c>
      <c r="F1021">
        <v>93.97</v>
      </c>
      <c r="G1021">
        <v>0.26572310311801639</v>
      </c>
      <c r="H1021">
        <v>5</v>
      </c>
      <c r="I1021">
        <v>0</v>
      </c>
    </row>
    <row r="1022" spans="1:9">
      <c r="A1022">
        <v>2017</v>
      </c>
      <c r="B1022" s="1">
        <v>42887</v>
      </c>
      <c r="C1022" s="2" t="s">
        <v>69</v>
      </c>
      <c r="D1022">
        <v>3</v>
      </c>
      <c r="E1022">
        <v>2</v>
      </c>
      <c r="F1022">
        <v>246.25</v>
      </c>
      <c r="G1022">
        <v>0.30672766753924624</v>
      </c>
      <c r="H1022">
        <v>4.333333333333333</v>
      </c>
      <c r="I1022">
        <v>0</v>
      </c>
    </row>
    <row r="1023" spans="1:9">
      <c r="A1023">
        <v>2017</v>
      </c>
      <c r="B1023" s="1">
        <v>42917</v>
      </c>
      <c r="C1023" s="2" t="s">
        <v>69</v>
      </c>
      <c r="D1023">
        <v>2</v>
      </c>
      <c r="E1023">
        <v>2</v>
      </c>
      <c r="F1023">
        <v>98.05</v>
      </c>
      <c r="G1023">
        <v>0.47301714802186945</v>
      </c>
      <c r="H1023">
        <v>4.5</v>
      </c>
      <c r="I1023">
        <v>0</v>
      </c>
    </row>
    <row r="1024" spans="1:9">
      <c r="A1024">
        <v>2017</v>
      </c>
      <c r="B1024" s="1">
        <v>42948</v>
      </c>
      <c r="C1024" s="2" t="s">
        <v>69</v>
      </c>
      <c r="D1024">
        <v>1</v>
      </c>
      <c r="E1024">
        <v>1</v>
      </c>
      <c r="F1024">
        <v>76.88</v>
      </c>
      <c r="G1024">
        <v>0.23387096774193547</v>
      </c>
      <c r="H1024">
        <v>5</v>
      </c>
      <c r="I1024">
        <v>0</v>
      </c>
    </row>
    <row r="1025" spans="1:9">
      <c r="A1025">
        <v>2017</v>
      </c>
      <c r="B1025" s="1">
        <v>42979</v>
      </c>
      <c r="C1025" s="2" t="s">
        <v>69</v>
      </c>
      <c r="D1025">
        <v>4</v>
      </c>
      <c r="E1025">
        <v>3</v>
      </c>
      <c r="F1025">
        <v>318.27999999999997</v>
      </c>
      <c r="G1025">
        <v>0.20155141389742412</v>
      </c>
      <c r="H1025">
        <v>4.75</v>
      </c>
      <c r="I1025">
        <v>0</v>
      </c>
    </row>
    <row r="1026" spans="1:9">
      <c r="A1026">
        <v>2017</v>
      </c>
      <c r="B1026" s="1">
        <v>43009</v>
      </c>
      <c r="C1026" s="2" t="s">
        <v>69</v>
      </c>
      <c r="D1026">
        <v>12</v>
      </c>
      <c r="E1026">
        <v>7</v>
      </c>
      <c r="F1026">
        <v>531.24</v>
      </c>
      <c r="G1026">
        <v>0.24748780064001913</v>
      </c>
      <c r="H1026">
        <v>4.583333333333333</v>
      </c>
      <c r="I1026">
        <v>0</v>
      </c>
    </row>
    <row r="1027" spans="1:9">
      <c r="A1027">
        <v>2017</v>
      </c>
      <c r="B1027" s="1">
        <v>43040</v>
      </c>
      <c r="C1027" s="2" t="s">
        <v>69</v>
      </c>
      <c r="D1027">
        <v>24</v>
      </c>
      <c r="E1027">
        <v>20</v>
      </c>
      <c r="F1027">
        <v>1791.98</v>
      </c>
      <c r="G1027">
        <v>0.3705294184928824</v>
      </c>
      <c r="H1027">
        <v>3.375</v>
      </c>
      <c r="I1027">
        <v>0.1</v>
      </c>
    </row>
    <row r="1028" spans="1:9">
      <c r="A1028">
        <v>2017</v>
      </c>
      <c r="B1028" s="1">
        <v>43070</v>
      </c>
      <c r="C1028" s="2" t="s">
        <v>69</v>
      </c>
      <c r="D1028">
        <v>16</v>
      </c>
      <c r="E1028">
        <v>14</v>
      </c>
      <c r="F1028">
        <v>794.97</v>
      </c>
      <c r="G1028">
        <v>0.45135342403702383</v>
      </c>
      <c r="H1028">
        <v>4.4000000000000004</v>
      </c>
      <c r="I1028">
        <v>0</v>
      </c>
    </row>
    <row r="1029" spans="1:9">
      <c r="A1029">
        <v>2018</v>
      </c>
      <c r="B1029" s="1">
        <v>43101</v>
      </c>
      <c r="C1029" s="2" t="s">
        <v>69</v>
      </c>
      <c r="D1029">
        <v>10</v>
      </c>
      <c r="E1029">
        <v>9</v>
      </c>
      <c r="F1029">
        <v>1104.46</v>
      </c>
      <c r="G1029">
        <v>0.22876154588742889</v>
      </c>
      <c r="H1029">
        <v>3.9</v>
      </c>
      <c r="I1029">
        <v>0</v>
      </c>
    </row>
    <row r="1030" spans="1:9">
      <c r="A1030">
        <v>2018</v>
      </c>
      <c r="B1030" s="1">
        <v>43132</v>
      </c>
      <c r="C1030" s="2" t="s">
        <v>69</v>
      </c>
      <c r="D1030">
        <v>24</v>
      </c>
      <c r="E1030">
        <v>17</v>
      </c>
      <c r="F1030">
        <v>2671.35</v>
      </c>
      <c r="G1030">
        <v>0.24104710477887686</v>
      </c>
      <c r="H1030">
        <v>3.5555555555555558</v>
      </c>
      <c r="I1030">
        <v>0.52941176470588236</v>
      </c>
    </row>
    <row r="1031" spans="1:9">
      <c r="A1031">
        <v>2018</v>
      </c>
      <c r="B1031" s="1">
        <v>43160</v>
      </c>
      <c r="C1031" s="2" t="s">
        <v>69</v>
      </c>
      <c r="D1031">
        <v>12</v>
      </c>
      <c r="E1031">
        <v>12</v>
      </c>
      <c r="F1031">
        <v>1194.29</v>
      </c>
      <c r="G1031">
        <v>0.31057573720433967</v>
      </c>
      <c r="H1031">
        <v>3</v>
      </c>
      <c r="I1031">
        <v>0.25</v>
      </c>
    </row>
    <row r="1032" spans="1:9">
      <c r="A1032">
        <v>2018</v>
      </c>
      <c r="B1032" s="1">
        <v>43191</v>
      </c>
      <c r="C1032" s="2" t="s">
        <v>69</v>
      </c>
      <c r="D1032">
        <v>12</v>
      </c>
      <c r="E1032">
        <v>9</v>
      </c>
      <c r="F1032">
        <v>518.58000000000004</v>
      </c>
      <c r="G1032">
        <v>0.56379369239943611</v>
      </c>
      <c r="H1032">
        <v>4.5</v>
      </c>
      <c r="I1032">
        <v>0</v>
      </c>
    </row>
    <row r="1033" spans="1:9">
      <c r="A1033">
        <v>2018</v>
      </c>
      <c r="B1033" s="1">
        <v>43221</v>
      </c>
      <c r="C1033" s="2" t="s">
        <v>69</v>
      </c>
      <c r="D1033">
        <v>6</v>
      </c>
      <c r="E1033">
        <v>6</v>
      </c>
      <c r="F1033">
        <v>672.74</v>
      </c>
      <c r="G1033">
        <v>0.28785735574803939</v>
      </c>
      <c r="H1033">
        <v>5</v>
      </c>
      <c r="I1033">
        <v>0</v>
      </c>
    </row>
    <row r="1034" spans="1:9">
      <c r="A1034">
        <v>2018</v>
      </c>
      <c r="B1034" s="1">
        <v>43252</v>
      </c>
      <c r="C1034" s="2" t="s">
        <v>69</v>
      </c>
      <c r="D1034">
        <v>7</v>
      </c>
      <c r="E1034">
        <v>6</v>
      </c>
      <c r="F1034">
        <v>476.71</v>
      </c>
      <c r="G1034">
        <v>0.354800621097211</v>
      </c>
      <c r="H1034">
        <v>4.5714285714285712</v>
      </c>
      <c r="I1034">
        <v>0</v>
      </c>
    </row>
    <row r="1035" spans="1:9">
      <c r="A1035">
        <v>2018</v>
      </c>
      <c r="B1035" s="1">
        <v>43282</v>
      </c>
      <c r="C1035" s="2" t="s">
        <v>69</v>
      </c>
      <c r="D1035">
        <v>8</v>
      </c>
      <c r="E1035">
        <v>8</v>
      </c>
      <c r="F1035">
        <v>661.66</v>
      </c>
      <c r="G1035">
        <v>0.33887089522154679</v>
      </c>
      <c r="H1035">
        <v>4.375</v>
      </c>
      <c r="I1035">
        <v>0.125</v>
      </c>
    </row>
    <row r="1036" spans="1:9">
      <c r="A1036">
        <v>2018</v>
      </c>
      <c r="B1036" s="1">
        <v>43313</v>
      </c>
      <c r="C1036" s="2" t="s">
        <v>69</v>
      </c>
      <c r="D1036">
        <v>11</v>
      </c>
      <c r="E1036">
        <v>11</v>
      </c>
      <c r="F1036">
        <v>778.71</v>
      </c>
      <c r="G1036">
        <v>0.36107944478140652</v>
      </c>
      <c r="H1036">
        <v>4</v>
      </c>
      <c r="I1036">
        <v>0</v>
      </c>
    </row>
    <row r="1037" spans="1:9">
      <c r="A1037">
        <v>2017</v>
      </c>
      <c r="B1037" s="1">
        <v>42917</v>
      </c>
      <c r="C1037" s="2" t="s">
        <v>76</v>
      </c>
      <c r="D1037">
        <v>5</v>
      </c>
      <c r="E1037">
        <v>4</v>
      </c>
      <c r="F1037">
        <v>299.38</v>
      </c>
      <c r="G1037">
        <v>0.24708330898401415</v>
      </c>
      <c r="H1037">
        <v>4</v>
      </c>
      <c r="I1037">
        <v>0</v>
      </c>
    </row>
    <row r="1038" spans="1:9">
      <c r="A1038">
        <v>2017</v>
      </c>
      <c r="B1038" s="1">
        <v>42948</v>
      </c>
      <c r="C1038" s="2" t="s">
        <v>76</v>
      </c>
      <c r="D1038">
        <v>3</v>
      </c>
      <c r="E1038">
        <v>2</v>
      </c>
      <c r="F1038">
        <v>177.16</v>
      </c>
      <c r="G1038">
        <v>0.23605686499790282</v>
      </c>
      <c r="H1038">
        <v>5</v>
      </c>
      <c r="I1038">
        <v>0</v>
      </c>
    </row>
    <row r="1039" spans="1:9">
      <c r="A1039">
        <v>2017</v>
      </c>
      <c r="B1039" s="1">
        <v>43009</v>
      </c>
      <c r="C1039" s="2" t="s">
        <v>76</v>
      </c>
      <c r="D1039">
        <v>1</v>
      </c>
      <c r="E1039">
        <v>1</v>
      </c>
      <c r="F1039">
        <v>61.11</v>
      </c>
      <c r="G1039">
        <v>0.26362297496318116</v>
      </c>
      <c r="H1039">
        <v>5</v>
      </c>
      <c r="I1039">
        <v>0</v>
      </c>
    </row>
    <row r="1040" spans="1:9">
      <c r="A1040">
        <v>2017</v>
      </c>
      <c r="B1040" s="1">
        <v>43040</v>
      </c>
      <c r="C1040" s="2" t="s">
        <v>76</v>
      </c>
      <c r="D1040">
        <v>3</v>
      </c>
      <c r="E1040">
        <v>3</v>
      </c>
      <c r="F1040">
        <v>224.82</v>
      </c>
      <c r="G1040">
        <v>0.13263944488924473</v>
      </c>
      <c r="H1040">
        <v>5</v>
      </c>
      <c r="I1040">
        <v>0</v>
      </c>
    </row>
    <row r="1041" spans="1:9">
      <c r="A1041">
        <v>2017</v>
      </c>
      <c r="B1041" s="1">
        <v>43070</v>
      </c>
      <c r="C1041" s="2" t="s">
        <v>76</v>
      </c>
      <c r="D1041">
        <v>1</v>
      </c>
      <c r="E1041">
        <v>1</v>
      </c>
      <c r="F1041">
        <v>74.94</v>
      </c>
      <c r="G1041">
        <v>0.13263944488924473</v>
      </c>
      <c r="H1041">
        <v>5</v>
      </c>
      <c r="I1041">
        <v>0</v>
      </c>
    </row>
    <row r="1042" spans="1:9">
      <c r="A1042">
        <v>2018</v>
      </c>
      <c r="B1042" s="1">
        <v>43191</v>
      </c>
      <c r="C1042" s="2" t="s">
        <v>76</v>
      </c>
      <c r="D1042">
        <v>1</v>
      </c>
      <c r="E1042">
        <v>1</v>
      </c>
      <c r="F1042">
        <v>117.58</v>
      </c>
      <c r="G1042">
        <v>0.44718489539037254</v>
      </c>
      <c r="H1042">
        <v>5</v>
      </c>
      <c r="I1042">
        <v>0</v>
      </c>
    </row>
    <row r="1043" spans="1:9">
      <c r="A1043">
        <v>2017</v>
      </c>
      <c r="B1043" s="1">
        <v>42767</v>
      </c>
      <c r="C1043" s="2" t="s">
        <v>18</v>
      </c>
      <c r="D1043">
        <v>1</v>
      </c>
      <c r="E1043">
        <v>1</v>
      </c>
      <c r="F1043">
        <v>182.4</v>
      </c>
      <c r="G1043">
        <v>0.12828947368421054</v>
      </c>
      <c r="H1043">
        <v>4</v>
      </c>
      <c r="I1043">
        <v>0</v>
      </c>
    </row>
    <row r="1044" spans="1:9">
      <c r="A1044">
        <v>2017</v>
      </c>
      <c r="B1044" s="1">
        <v>42795</v>
      </c>
      <c r="C1044" s="2" t="s">
        <v>18</v>
      </c>
      <c r="D1044">
        <v>2</v>
      </c>
      <c r="E1044">
        <v>2</v>
      </c>
      <c r="F1044">
        <v>103.74</v>
      </c>
      <c r="G1044">
        <v>0.2839882042157123</v>
      </c>
      <c r="H1044">
        <v>5</v>
      </c>
      <c r="I1044">
        <v>0</v>
      </c>
    </row>
    <row r="1045" spans="1:9">
      <c r="A1045">
        <v>2017</v>
      </c>
      <c r="B1045" s="1">
        <v>42826</v>
      </c>
      <c r="C1045" s="2" t="s">
        <v>18</v>
      </c>
      <c r="D1045">
        <v>1</v>
      </c>
      <c r="E1045">
        <v>1</v>
      </c>
      <c r="F1045">
        <v>86.92</v>
      </c>
      <c r="G1045">
        <v>0.13713759779107226</v>
      </c>
      <c r="H1045">
        <v>4</v>
      </c>
      <c r="I1045">
        <v>1</v>
      </c>
    </row>
    <row r="1046" spans="1:9">
      <c r="A1046">
        <v>2017</v>
      </c>
      <c r="B1046" s="1">
        <v>42856</v>
      </c>
      <c r="C1046" s="2" t="s">
        <v>18</v>
      </c>
      <c r="D1046">
        <v>3</v>
      </c>
      <c r="E1046">
        <v>3</v>
      </c>
      <c r="F1046">
        <v>316.45999999999998</v>
      </c>
      <c r="G1046">
        <v>0.21836391798928323</v>
      </c>
      <c r="H1046">
        <v>4.666666666666667</v>
      </c>
      <c r="I1046">
        <v>0.33333333333333331</v>
      </c>
    </row>
    <row r="1047" spans="1:9">
      <c r="A1047">
        <v>2017</v>
      </c>
      <c r="B1047" s="1">
        <v>42887</v>
      </c>
      <c r="C1047" s="2" t="s">
        <v>18</v>
      </c>
      <c r="D1047">
        <v>2</v>
      </c>
      <c r="E1047">
        <v>2</v>
      </c>
      <c r="F1047">
        <v>188.53</v>
      </c>
      <c r="G1047">
        <v>0.22685804659232198</v>
      </c>
      <c r="H1047">
        <v>5</v>
      </c>
      <c r="I1047">
        <v>0</v>
      </c>
    </row>
    <row r="1048" spans="1:9">
      <c r="A1048">
        <v>2017</v>
      </c>
      <c r="B1048" s="1">
        <v>42917</v>
      </c>
      <c r="C1048" s="2" t="s">
        <v>18</v>
      </c>
      <c r="D1048">
        <v>2</v>
      </c>
      <c r="E1048">
        <v>2</v>
      </c>
      <c r="F1048">
        <v>580.88</v>
      </c>
      <c r="G1048">
        <v>9.4345813529092173E-2</v>
      </c>
      <c r="H1048">
        <v>5</v>
      </c>
      <c r="I1048">
        <v>0</v>
      </c>
    </row>
    <row r="1049" spans="1:9">
      <c r="A1049">
        <v>2017</v>
      </c>
      <c r="B1049" s="1">
        <v>42948</v>
      </c>
      <c r="C1049" s="2" t="s">
        <v>18</v>
      </c>
      <c r="D1049">
        <v>9</v>
      </c>
      <c r="E1049">
        <v>9</v>
      </c>
      <c r="F1049">
        <v>1324.98</v>
      </c>
      <c r="G1049">
        <v>0.13057406010101646</v>
      </c>
      <c r="H1049">
        <v>4.666666666666667</v>
      </c>
      <c r="I1049">
        <v>0</v>
      </c>
    </row>
    <row r="1050" spans="1:9">
      <c r="A1050">
        <v>2017</v>
      </c>
      <c r="B1050" s="1">
        <v>42979</v>
      </c>
      <c r="C1050" s="2" t="s">
        <v>18</v>
      </c>
      <c r="D1050">
        <v>8</v>
      </c>
      <c r="E1050">
        <v>8</v>
      </c>
      <c r="F1050">
        <v>1136.9100000000001</v>
      </c>
      <c r="G1050">
        <v>0.13498569150756856</v>
      </c>
      <c r="H1050">
        <v>4.25</v>
      </c>
      <c r="I1050">
        <v>0.125</v>
      </c>
    </row>
    <row r="1051" spans="1:9">
      <c r="A1051">
        <v>2017</v>
      </c>
      <c r="B1051" s="1">
        <v>43009</v>
      </c>
      <c r="C1051" s="2" t="s">
        <v>18</v>
      </c>
      <c r="D1051">
        <v>6</v>
      </c>
      <c r="E1051">
        <v>6</v>
      </c>
      <c r="F1051">
        <v>988.25</v>
      </c>
      <c r="G1051">
        <v>0.16062578340225736</v>
      </c>
      <c r="H1051">
        <v>4.833333333333333</v>
      </c>
      <c r="I1051">
        <v>0</v>
      </c>
    </row>
    <row r="1052" spans="1:9">
      <c r="A1052">
        <v>2017</v>
      </c>
      <c r="B1052" s="1">
        <v>43040</v>
      </c>
      <c r="C1052" s="2" t="s">
        <v>18</v>
      </c>
      <c r="D1052">
        <v>6</v>
      </c>
      <c r="E1052">
        <v>5</v>
      </c>
      <c r="F1052">
        <v>863.82</v>
      </c>
      <c r="G1052">
        <v>0.11280581947871469</v>
      </c>
      <c r="H1052">
        <v>3.6666666666666665</v>
      </c>
      <c r="I1052">
        <v>0</v>
      </c>
    </row>
    <row r="1053" spans="1:9">
      <c r="A1053">
        <v>2017</v>
      </c>
      <c r="B1053" s="1">
        <v>43070</v>
      </c>
      <c r="C1053" s="2" t="s">
        <v>18</v>
      </c>
      <c r="D1053">
        <v>4</v>
      </c>
      <c r="E1053">
        <v>4</v>
      </c>
      <c r="F1053">
        <v>735.96</v>
      </c>
      <c r="G1053">
        <v>9.5736960191492318E-2</v>
      </c>
      <c r="H1053">
        <v>4</v>
      </c>
      <c r="I1053">
        <v>0</v>
      </c>
    </row>
    <row r="1054" spans="1:9">
      <c r="A1054">
        <v>2018</v>
      </c>
      <c r="B1054" s="1">
        <v>43101</v>
      </c>
      <c r="C1054" s="2" t="s">
        <v>18</v>
      </c>
      <c r="D1054">
        <v>17</v>
      </c>
      <c r="E1054">
        <v>16</v>
      </c>
      <c r="F1054">
        <v>1418.83</v>
      </c>
      <c r="G1054">
        <v>0.2405863684957868</v>
      </c>
      <c r="H1054">
        <v>4.8235294117647056</v>
      </c>
      <c r="I1054">
        <v>0</v>
      </c>
    </row>
    <row r="1055" spans="1:9">
      <c r="A1055">
        <v>2018</v>
      </c>
      <c r="B1055" s="1">
        <v>43132</v>
      </c>
      <c r="C1055" s="2" t="s">
        <v>18</v>
      </c>
      <c r="D1055">
        <v>27</v>
      </c>
      <c r="E1055">
        <v>23</v>
      </c>
      <c r="F1055">
        <v>1807.78</v>
      </c>
      <c r="G1055">
        <v>0.25200956535109764</v>
      </c>
      <c r="H1055">
        <v>3.8076923076923075</v>
      </c>
      <c r="I1055">
        <v>8.6956521739130432E-2</v>
      </c>
    </row>
    <row r="1056" spans="1:9">
      <c r="A1056">
        <v>2018</v>
      </c>
      <c r="B1056" s="1">
        <v>43160</v>
      </c>
      <c r="C1056" s="2" t="s">
        <v>18</v>
      </c>
      <c r="D1056">
        <v>17</v>
      </c>
      <c r="E1056">
        <v>17</v>
      </c>
      <c r="F1056">
        <v>1232.47</v>
      </c>
      <c r="G1056">
        <v>0.32923348157807797</v>
      </c>
      <c r="H1056">
        <v>4.1764705882352944</v>
      </c>
      <c r="I1056">
        <v>0.23529411764705882</v>
      </c>
    </row>
    <row r="1057" spans="1:9">
      <c r="A1057">
        <v>2018</v>
      </c>
      <c r="B1057" s="1">
        <v>43191</v>
      </c>
      <c r="C1057" s="2" t="s">
        <v>18</v>
      </c>
      <c r="D1057">
        <v>23</v>
      </c>
      <c r="E1057">
        <v>23</v>
      </c>
      <c r="F1057">
        <v>1576.46</v>
      </c>
      <c r="G1057">
        <v>0.3007202601234667</v>
      </c>
      <c r="H1057">
        <v>4.4782608695652177</v>
      </c>
      <c r="I1057">
        <v>0</v>
      </c>
    </row>
    <row r="1058" spans="1:9">
      <c r="A1058">
        <v>2018</v>
      </c>
      <c r="B1058" s="1">
        <v>43221</v>
      </c>
      <c r="C1058" s="2" t="s">
        <v>18</v>
      </c>
      <c r="D1058">
        <v>56</v>
      </c>
      <c r="E1058">
        <v>55</v>
      </c>
      <c r="F1058">
        <v>3923.58</v>
      </c>
      <c r="G1058">
        <v>0.23990422703032127</v>
      </c>
      <c r="H1058">
        <v>4.3454545454545457</v>
      </c>
      <c r="I1058">
        <v>0.16363636363636364</v>
      </c>
    </row>
    <row r="1059" spans="1:9">
      <c r="A1059">
        <v>2018</v>
      </c>
      <c r="B1059" s="1">
        <v>43252</v>
      </c>
      <c r="C1059" s="2" t="s">
        <v>18</v>
      </c>
      <c r="D1059">
        <v>26</v>
      </c>
      <c r="E1059">
        <v>26</v>
      </c>
      <c r="F1059">
        <v>2184.59</v>
      </c>
      <c r="G1059">
        <v>0.26389452477497383</v>
      </c>
      <c r="H1059">
        <v>4.615384615384615</v>
      </c>
      <c r="I1059">
        <v>0</v>
      </c>
    </row>
    <row r="1060" spans="1:9">
      <c r="A1060">
        <v>2018</v>
      </c>
      <c r="B1060" s="1">
        <v>43282</v>
      </c>
      <c r="C1060" s="2" t="s">
        <v>18</v>
      </c>
      <c r="D1060">
        <v>28</v>
      </c>
      <c r="E1060">
        <v>28</v>
      </c>
      <c r="F1060">
        <v>2605.41</v>
      </c>
      <c r="G1060">
        <v>0.21616628370673424</v>
      </c>
      <c r="H1060">
        <v>4.0384615384615383</v>
      </c>
      <c r="I1060">
        <v>0</v>
      </c>
    </row>
    <row r="1061" spans="1:9">
      <c r="A1061">
        <v>2018</v>
      </c>
      <c r="B1061" s="1">
        <v>43313</v>
      </c>
      <c r="C1061" s="2" t="s">
        <v>18</v>
      </c>
      <c r="D1061">
        <v>29</v>
      </c>
      <c r="E1061">
        <v>28</v>
      </c>
      <c r="F1061">
        <v>1861.38</v>
      </c>
      <c r="G1061">
        <v>0.24632597963437394</v>
      </c>
      <c r="H1061">
        <v>4.7241379310344831</v>
      </c>
      <c r="I1061">
        <v>0.10714285714285714</v>
      </c>
    </row>
    <row r="1062" spans="1:9">
      <c r="A1062">
        <v>2017</v>
      </c>
      <c r="B1062" s="1">
        <v>42767</v>
      </c>
      <c r="C1062" s="2" t="s">
        <v>56</v>
      </c>
      <c r="D1062">
        <v>1</v>
      </c>
      <c r="E1062">
        <v>1</v>
      </c>
      <c r="F1062">
        <v>114.9</v>
      </c>
      <c r="G1062">
        <v>0.13838120104438642</v>
      </c>
      <c r="H1062">
        <v>1</v>
      </c>
      <c r="I1062">
        <v>0</v>
      </c>
    </row>
    <row r="1063" spans="1:9">
      <c r="A1063">
        <v>2017</v>
      </c>
      <c r="B1063" s="1">
        <v>42826</v>
      </c>
      <c r="C1063" s="2" t="s">
        <v>56</v>
      </c>
      <c r="D1063">
        <v>1</v>
      </c>
      <c r="E1063">
        <v>1</v>
      </c>
      <c r="F1063">
        <v>33.43</v>
      </c>
      <c r="G1063">
        <v>0.40203410110679033</v>
      </c>
      <c r="H1063">
        <v>1</v>
      </c>
      <c r="I1063">
        <v>1</v>
      </c>
    </row>
    <row r="1064" spans="1:9">
      <c r="A1064">
        <v>2017</v>
      </c>
      <c r="B1064" s="1">
        <v>42887</v>
      </c>
      <c r="C1064" s="2" t="s">
        <v>56</v>
      </c>
      <c r="D1064">
        <v>2</v>
      </c>
      <c r="E1064">
        <v>1</v>
      </c>
      <c r="F1064">
        <v>129.19999999999999</v>
      </c>
      <c r="G1064">
        <v>0.23374613003095976</v>
      </c>
      <c r="H1064">
        <v>5</v>
      </c>
      <c r="I1064">
        <v>0</v>
      </c>
    </row>
    <row r="1065" spans="1:9">
      <c r="A1065">
        <v>2017</v>
      </c>
      <c r="B1065" s="1">
        <v>42948</v>
      </c>
      <c r="C1065" s="2" t="s">
        <v>56</v>
      </c>
      <c r="D1065">
        <v>1</v>
      </c>
      <c r="E1065">
        <v>1</v>
      </c>
      <c r="F1065">
        <v>70.34</v>
      </c>
      <c r="G1065">
        <v>0.13278362240545921</v>
      </c>
      <c r="H1065">
        <v>5</v>
      </c>
      <c r="I1065">
        <v>0</v>
      </c>
    </row>
    <row r="1066" spans="1:9">
      <c r="A1066">
        <v>2017</v>
      </c>
      <c r="B1066" s="1">
        <v>42979</v>
      </c>
      <c r="C1066" s="2" t="s">
        <v>56</v>
      </c>
      <c r="D1066">
        <v>4</v>
      </c>
      <c r="E1066">
        <v>3</v>
      </c>
      <c r="F1066">
        <v>327.56</v>
      </c>
      <c r="G1066">
        <v>0.10420065299313935</v>
      </c>
      <c r="H1066">
        <v>5</v>
      </c>
      <c r="I1066">
        <v>0</v>
      </c>
    </row>
    <row r="1067" spans="1:9">
      <c r="A1067">
        <v>2017</v>
      </c>
      <c r="B1067" s="1">
        <v>43040</v>
      </c>
      <c r="C1067" s="2" t="s">
        <v>56</v>
      </c>
      <c r="D1067">
        <v>4</v>
      </c>
      <c r="E1067">
        <v>3</v>
      </c>
      <c r="F1067">
        <v>372.5</v>
      </c>
      <c r="G1067">
        <v>0.13097454534608075</v>
      </c>
      <c r="H1067">
        <v>5</v>
      </c>
      <c r="I1067">
        <v>0</v>
      </c>
    </row>
    <row r="1068" spans="1:9">
      <c r="A1068">
        <v>2017</v>
      </c>
      <c r="B1068" s="1">
        <v>43070</v>
      </c>
      <c r="C1068" s="2" t="s">
        <v>56</v>
      </c>
      <c r="D1068">
        <v>3</v>
      </c>
      <c r="E1068">
        <v>3</v>
      </c>
      <c r="F1068">
        <v>271.06</v>
      </c>
      <c r="G1068">
        <v>0.14607473407367974</v>
      </c>
      <c r="H1068">
        <v>3.3333333333333335</v>
      </c>
      <c r="I1068">
        <v>0</v>
      </c>
    </row>
    <row r="1069" spans="1:9">
      <c r="A1069">
        <v>2018</v>
      </c>
      <c r="B1069" s="1">
        <v>43101</v>
      </c>
      <c r="C1069" s="2" t="s">
        <v>56</v>
      </c>
      <c r="D1069">
        <v>6</v>
      </c>
      <c r="E1069">
        <v>6</v>
      </c>
      <c r="F1069">
        <v>648.66999999999996</v>
      </c>
      <c r="G1069">
        <v>0.10826544098953203</v>
      </c>
      <c r="H1069">
        <v>3.8333333333333335</v>
      </c>
      <c r="I1069">
        <v>0</v>
      </c>
    </row>
    <row r="1070" spans="1:9">
      <c r="A1070">
        <v>2018</v>
      </c>
      <c r="B1070" s="1">
        <v>43132</v>
      </c>
      <c r="C1070" s="2" t="s">
        <v>56</v>
      </c>
      <c r="D1070">
        <v>3</v>
      </c>
      <c r="E1070">
        <v>3</v>
      </c>
      <c r="F1070">
        <v>351.54</v>
      </c>
      <c r="G1070">
        <v>8.1506260594135974E-2</v>
      </c>
      <c r="H1070">
        <v>4.333333333333333</v>
      </c>
      <c r="I1070">
        <v>0</v>
      </c>
    </row>
    <row r="1071" spans="1:9">
      <c r="A1071">
        <v>2018</v>
      </c>
      <c r="B1071" s="1">
        <v>43160</v>
      </c>
      <c r="C1071" s="2" t="s">
        <v>56</v>
      </c>
      <c r="D1071">
        <v>3</v>
      </c>
      <c r="E1071">
        <v>2</v>
      </c>
      <c r="F1071">
        <v>284.69</v>
      </c>
      <c r="G1071">
        <v>9.1427070029758903E-2</v>
      </c>
      <c r="H1071">
        <v>5</v>
      </c>
      <c r="I1071">
        <v>0</v>
      </c>
    </row>
    <row r="1072" spans="1:9">
      <c r="A1072">
        <v>2018</v>
      </c>
      <c r="B1072" s="1">
        <v>43191</v>
      </c>
      <c r="C1072" s="2" t="s">
        <v>56</v>
      </c>
      <c r="D1072">
        <v>4</v>
      </c>
      <c r="E1072">
        <v>4</v>
      </c>
      <c r="F1072">
        <v>352.37</v>
      </c>
      <c r="G1072">
        <v>0.13461505331757403</v>
      </c>
      <c r="H1072">
        <v>4.75</v>
      </c>
      <c r="I1072">
        <v>0</v>
      </c>
    </row>
    <row r="1073" spans="1:9">
      <c r="A1073">
        <v>2018</v>
      </c>
      <c r="B1073" s="1">
        <v>43221</v>
      </c>
      <c r="C1073" s="2" t="s">
        <v>56</v>
      </c>
      <c r="D1073">
        <v>10</v>
      </c>
      <c r="E1073">
        <v>9</v>
      </c>
      <c r="F1073">
        <v>525.71</v>
      </c>
      <c r="G1073">
        <v>0.26621253422611446</v>
      </c>
      <c r="H1073">
        <v>4.9000000000000004</v>
      </c>
      <c r="I1073">
        <v>0</v>
      </c>
    </row>
    <row r="1074" spans="1:9">
      <c r="A1074">
        <v>2018</v>
      </c>
      <c r="B1074" s="1">
        <v>43252</v>
      </c>
      <c r="C1074" s="2" t="s">
        <v>56</v>
      </c>
      <c r="D1074">
        <v>9</v>
      </c>
      <c r="E1074">
        <v>9</v>
      </c>
      <c r="F1074">
        <v>606.16</v>
      </c>
      <c r="G1074">
        <v>0.23322110558105141</v>
      </c>
      <c r="H1074">
        <v>5</v>
      </c>
      <c r="I1074">
        <v>0</v>
      </c>
    </row>
    <row r="1075" spans="1:9">
      <c r="A1075">
        <v>2018</v>
      </c>
      <c r="B1075" s="1">
        <v>43282</v>
      </c>
      <c r="C1075" s="2" t="s">
        <v>56</v>
      </c>
      <c r="D1075">
        <v>8</v>
      </c>
      <c r="E1075">
        <v>6</v>
      </c>
      <c r="F1075">
        <v>516.61</v>
      </c>
      <c r="G1075">
        <v>0.23159411061722179</v>
      </c>
      <c r="H1075">
        <v>3.5</v>
      </c>
      <c r="I1075">
        <v>0.16666666666666666</v>
      </c>
    </row>
    <row r="1076" spans="1:9">
      <c r="A1076">
        <v>2018</v>
      </c>
      <c r="B1076" s="1">
        <v>43313</v>
      </c>
      <c r="C1076" s="2" t="s">
        <v>56</v>
      </c>
      <c r="D1076">
        <v>1</v>
      </c>
      <c r="E1076">
        <v>1</v>
      </c>
      <c r="F1076">
        <v>804.96</v>
      </c>
      <c r="G1076">
        <v>6.9518982309679983E-2</v>
      </c>
      <c r="H1076">
        <v>5</v>
      </c>
      <c r="I1076">
        <v>0</v>
      </c>
    </row>
    <row r="1077" spans="1:9">
      <c r="A1077">
        <v>2017</v>
      </c>
      <c r="B1077" s="1">
        <v>42736</v>
      </c>
      <c r="C1077" s="2" t="s">
        <v>17</v>
      </c>
      <c r="D1077">
        <v>2</v>
      </c>
      <c r="E1077">
        <v>2</v>
      </c>
      <c r="F1077">
        <v>271.55</v>
      </c>
      <c r="G1077">
        <v>0.1351436438121825</v>
      </c>
      <c r="H1077">
        <v>5</v>
      </c>
      <c r="I1077">
        <v>0</v>
      </c>
    </row>
    <row r="1078" spans="1:9">
      <c r="A1078">
        <v>2017</v>
      </c>
      <c r="B1078" s="1">
        <v>42767</v>
      </c>
      <c r="C1078" s="2" t="s">
        <v>17</v>
      </c>
      <c r="D1078">
        <v>8</v>
      </c>
      <c r="E1078">
        <v>8</v>
      </c>
      <c r="F1078">
        <v>950.02</v>
      </c>
      <c r="G1078">
        <v>0.18740661670920022</v>
      </c>
      <c r="H1078">
        <v>4.375</v>
      </c>
      <c r="I1078">
        <v>0.125</v>
      </c>
    </row>
    <row r="1079" spans="1:9">
      <c r="A1079">
        <v>2017</v>
      </c>
      <c r="B1079" s="1">
        <v>42795</v>
      </c>
      <c r="C1079" s="2" t="s">
        <v>17</v>
      </c>
      <c r="D1079">
        <v>25</v>
      </c>
      <c r="E1079">
        <v>20</v>
      </c>
      <c r="F1079">
        <v>3087.56</v>
      </c>
      <c r="G1079">
        <v>0.16985199091834502</v>
      </c>
      <c r="H1079">
        <v>4.24</v>
      </c>
      <c r="I1079">
        <v>0.05</v>
      </c>
    </row>
    <row r="1080" spans="1:9">
      <c r="A1080">
        <v>2017</v>
      </c>
      <c r="B1080" s="1">
        <v>42826</v>
      </c>
      <c r="C1080" s="2" t="s">
        <v>17</v>
      </c>
      <c r="D1080">
        <v>12</v>
      </c>
      <c r="E1080">
        <v>12</v>
      </c>
      <c r="F1080">
        <v>1142.79</v>
      </c>
      <c r="G1080">
        <v>0.23103427232483678</v>
      </c>
      <c r="H1080">
        <v>4.666666666666667</v>
      </c>
      <c r="I1080">
        <v>0</v>
      </c>
    </row>
    <row r="1081" spans="1:9">
      <c r="A1081">
        <v>2017</v>
      </c>
      <c r="B1081" s="1">
        <v>42856</v>
      </c>
      <c r="C1081" s="2" t="s">
        <v>17</v>
      </c>
      <c r="D1081">
        <v>20</v>
      </c>
      <c r="E1081">
        <v>19</v>
      </c>
      <c r="F1081">
        <v>2199.17</v>
      </c>
      <c r="G1081">
        <v>0.19456772329893654</v>
      </c>
      <c r="H1081">
        <v>4.45</v>
      </c>
      <c r="I1081">
        <v>0</v>
      </c>
    </row>
    <row r="1082" spans="1:9">
      <c r="A1082">
        <v>2017</v>
      </c>
      <c r="B1082" s="1">
        <v>42887</v>
      </c>
      <c r="C1082" s="2" t="s">
        <v>17</v>
      </c>
      <c r="D1082">
        <v>21</v>
      </c>
      <c r="E1082">
        <v>20</v>
      </c>
      <c r="F1082">
        <v>2337.34</v>
      </c>
      <c r="G1082">
        <v>0.20831486915758116</v>
      </c>
      <c r="H1082">
        <v>4.5714285714285712</v>
      </c>
      <c r="I1082">
        <v>0</v>
      </c>
    </row>
    <row r="1083" spans="1:9">
      <c r="A1083">
        <v>2017</v>
      </c>
      <c r="B1083" s="1">
        <v>42917</v>
      </c>
      <c r="C1083" s="2" t="s">
        <v>17</v>
      </c>
      <c r="D1083">
        <v>13</v>
      </c>
      <c r="E1083">
        <v>12</v>
      </c>
      <c r="F1083">
        <v>1545.28</v>
      </c>
      <c r="G1083">
        <v>0.18619449751181769</v>
      </c>
      <c r="H1083">
        <v>5</v>
      </c>
      <c r="I1083">
        <v>0</v>
      </c>
    </row>
    <row r="1084" spans="1:9">
      <c r="A1084">
        <v>2017</v>
      </c>
      <c r="B1084" s="1">
        <v>42948</v>
      </c>
      <c r="C1084" s="2" t="s">
        <v>17</v>
      </c>
      <c r="D1084">
        <v>29</v>
      </c>
      <c r="E1084">
        <v>29</v>
      </c>
      <c r="F1084">
        <v>3714.78</v>
      </c>
      <c r="G1084">
        <v>0.19192490584405136</v>
      </c>
      <c r="H1084">
        <v>4.5</v>
      </c>
      <c r="I1084">
        <v>0</v>
      </c>
    </row>
    <row r="1085" spans="1:9">
      <c r="A1085">
        <v>2017</v>
      </c>
      <c r="B1085" s="1">
        <v>42979</v>
      </c>
      <c r="C1085" s="2" t="s">
        <v>17</v>
      </c>
      <c r="D1085">
        <v>15</v>
      </c>
      <c r="E1085">
        <v>15</v>
      </c>
      <c r="F1085">
        <v>1199.5899999999999</v>
      </c>
      <c r="G1085">
        <v>0.25037051248838543</v>
      </c>
      <c r="H1085">
        <v>4</v>
      </c>
      <c r="I1085">
        <v>6.6666666666666666E-2</v>
      </c>
    </row>
    <row r="1086" spans="1:9">
      <c r="A1086">
        <v>2017</v>
      </c>
      <c r="B1086" s="1">
        <v>43009</v>
      </c>
      <c r="C1086" s="2" t="s">
        <v>17</v>
      </c>
      <c r="D1086">
        <v>11</v>
      </c>
      <c r="E1086">
        <v>8</v>
      </c>
      <c r="F1086">
        <v>929.87</v>
      </c>
      <c r="G1086">
        <v>0.23473925803362192</v>
      </c>
      <c r="H1086">
        <v>4.7</v>
      </c>
      <c r="I1086">
        <v>0.25</v>
      </c>
    </row>
    <row r="1087" spans="1:9">
      <c r="A1087">
        <v>2017</v>
      </c>
      <c r="B1087" s="1">
        <v>43040</v>
      </c>
      <c r="C1087" s="2" t="s">
        <v>17</v>
      </c>
      <c r="D1087">
        <v>38</v>
      </c>
      <c r="E1087">
        <v>38</v>
      </c>
      <c r="F1087">
        <v>3235.05</v>
      </c>
      <c r="G1087">
        <v>0.23645987076924468</v>
      </c>
      <c r="H1087">
        <v>4.1621621621621623</v>
      </c>
      <c r="I1087">
        <v>0.21052631578947367</v>
      </c>
    </row>
    <row r="1088" spans="1:9">
      <c r="A1088">
        <v>2017</v>
      </c>
      <c r="B1088" s="1">
        <v>43070</v>
      </c>
      <c r="C1088" s="2" t="s">
        <v>17</v>
      </c>
      <c r="D1088">
        <v>42</v>
      </c>
      <c r="E1088">
        <v>38</v>
      </c>
      <c r="F1088">
        <v>3042.06</v>
      </c>
      <c r="G1088">
        <v>0.24808161517028965</v>
      </c>
      <c r="H1088">
        <v>4.4878048780487809</v>
      </c>
      <c r="I1088">
        <v>5.2631578947368418E-2</v>
      </c>
    </row>
    <row r="1089" spans="1:9">
      <c r="A1089">
        <v>2018</v>
      </c>
      <c r="B1089" s="1">
        <v>43101</v>
      </c>
      <c r="C1089" s="2" t="s">
        <v>17</v>
      </c>
      <c r="D1089">
        <v>45</v>
      </c>
      <c r="E1089">
        <v>41</v>
      </c>
      <c r="F1089">
        <v>2825.37</v>
      </c>
      <c r="G1089">
        <v>0.25100791656262611</v>
      </c>
      <c r="H1089">
        <v>4.6888888888888891</v>
      </c>
      <c r="I1089">
        <v>2.4390243902439025E-2</v>
      </c>
    </row>
    <row r="1090" spans="1:9">
      <c r="A1090">
        <v>2018</v>
      </c>
      <c r="B1090" s="1">
        <v>43132</v>
      </c>
      <c r="C1090" s="2" t="s">
        <v>17</v>
      </c>
      <c r="D1090">
        <v>29</v>
      </c>
      <c r="E1090">
        <v>29</v>
      </c>
      <c r="F1090">
        <v>2465.34</v>
      </c>
      <c r="G1090">
        <v>0.2461548330772651</v>
      </c>
      <c r="H1090">
        <v>4.3793103448275863</v>
      </c>
      <c r="I1090">
        <v>0.10344827586206896</v>
      </c>
    </row>
    <row r="1091" spans="1:9">
      <c r="A1091">
        <v>2018</v>
      </c>
      <c r="B1091" s="1">
        <v>43160</v>
      </c>
      <c r="C1091" s="2" t="s">
        <v>17</v>
      </c>
      <c r="D1091">
        <v>39</v>
      </c>
      <c r="E1091">
        <v>34</v>
      </c>
      <c r="F1091">
        <v>2288.66</v>
      </c>
      <c r="G1091">
        <v>0.30183599534065253</v>
      </c>
      <c r="H1091">
        <v>4.4102564102564106</v>
      </c>
      <c r="I1091">
        <v>5.8823529411764705E-2</v>
      </c>
    </row>
    <row r="1092" spans="1:9">
      <c r="A1092">
        <v>2018</v>
      </c>
      <c r="B1092" s="1">
        <v>43191</v>
      </c>
      <c r="C1092" s="2" t="s">
        <v>17</v>
      </c>
      <c r="D1092">
        <v>50</v>
      </c>
      <c r="E1092">
        <v>43</v>
      </c>
      <c r="F1092">
        <v>7209.15</v>
      </c>
      <c r="G1092">
        <v>0.238491729659881</v>
      </c>
      <c r="H1092">
        <v>4.4400000000000004</v>
      </c>
      <c r="I1092">
        <v>9.3023255813953487E-2</v>
      </c>
    </row>
    <row r="1093" spans="1:9">
      <c r="A1093">
        <v>2018</v>
      </c>
      <c r="B1093" s="1">
        <v>43221</v>
      </c>
      <c r="C1093" s="2" t="s">
        <v>17</v>
      </c>
      <c r="D1093">
        <v>53</v>
      </c>
      <c r="E1093">
        <v>51</v>
      </c>
      <c r="F1093">
        <v>6932.51</v>
      </c>
      <c r="G1093">
        <v>0.26373342262778227</v>
      </c>
      <c r="H1093">
        <v>4.3396226415094343</v>
      </c>
      <c r="I1093">
        <v>1.9607843137254902E-2</v>
      </c>
    </row>
    <row r="1094" spans="1:9">
      <c r="A1094">
        <v>2018</v>
      </c>
      <c r="B1094" s="1">
        <v>43252</v>
      </c>
      <c r="C1094" s="2" t="s">
        <v>17</v>
      </c>
      <c r="D1094">
        <v>39</v>
      </c>
      <c r="E1094">
        <v>33</v>
      </c>
      <c r="F1094">
        <v>3958.62</v>
      </c>
      <c r="G1094">
        <v>0.25194938908697107</v>
      </c>
      <c r="H1094">
        <v>4.6578947368421053</v>
      </c>
      <c r="I1094">
        <v>0</v>
      </c>
    </row>
    <row r="1095" spans="1:9">
      <c r="A1095">
        <v>2018</v>
      </c>
      <c r="B1095" s="1">
        <v>43282</v>
      </c>
      <c r="C1095" s="2" t="s">
        <v>17</v>
      </c>
      <c r="D1095">
        <v>25</v>
      </c>
      <c r="E1095">
        <v>25</v>
      </c>
      <c r="F1095">
        <v>4496.16</v>
      </c>
      <c r="G1095">
        <v>0.20530311729205095</v>
      </c>
      <c r="H1095">
        <v>4.4400000000000004</v>
      </c>
      <c r="I1095">
        <v>0.08</v>
      </c>
    </row>
    <row r="1096" spans="1:9">
      <c r="A1096">
        <v>2018</v>
      </c>
      <c r="B1096" s="1">
        <v>43313</v>
      </c>
      <c r="C1096" s="2" t="s">
        <v>17</v>
      </c>
      <c r="D1096">
        <v>36</v>
      </c>
      <c r="E1096">
        <v>34</v>
      </c>
      <c r="F1096">
        <v>2076.9899999999998</v>
      </c>
      <c r="G1096">
        <v>0.2621030121641364</v>
      </c>
      <c r="H1096">
        <v>4.25</v>
      </c>
      <c r="I1096">
        <v>0.14705882352941177</v>
      </c>
    </row>
    <row r="1097" spans="1:9">
      <c r="A1097">
        <v>2017</v>
      </c>
      <c r="B1097" s="1">
        <v>42736</v>
      </c>
      <c r="C1097" s="2" t="s">
        <v>16</v>
      </c>
      <c r="D1097">
        <v>49</v>
      </c>
      <c r="E1097">
        <v>45</v>
      </c>
      <c r="F1097">
        <v>4944.7700000000004</v>
      </c>
      <c r="G1097">
        <v>0.1884914924536423</v>
      </c>
      <c r="H1097">
        <v>4.1162790697674421</v>
      </c>
      <c r="I1097">
        <v>4.4444444444444446E-2</v>
      </c>
    </row>
    <row r="1098" spans="1:9">
      <c r="A1098">
        <v>2017</v>
      </c>
      <c r="B1098" s="1">
        <v>42767</v>
      </c>
      <c r="C1098" s="2" t="s">
        <v>16</v>
      </c>
      <c r="D1098">
        <v>169</v>
      </c>
      <c r="E1098">
        <v>146</v>
      </c>
      <c r="F1098">
        <v>20195.97</v>
      </c>
      <c r="G1098">
        <v>0.19284413525954314</v>
      </c>
      <c r="H1098">
        <v>4.1987951807228914</v>
      </c>
      <c r="I1098">
        <v>2.0547945205479451E-2</v>
      </c>
    </row>
    <row r="1099" spans="1:9">
      <c r="A1099">
        <v>2017</v>
      </c>
      <c r="B1099" s="1">
        <v>42795</v>
      </c>
      <c r="C1099" s="2" t="s">
        <v>16</v>
      </c>
      <c r="D1099">
        <v>296</v>
      </c>
      <c r="E1099">
        <v>249</v>
      </c>
      <c r="F1099">
        <v>31432.42</v>
      </c>
      <c r="G1099">
        <v>0.2043958048736326</v>
      </c>
      <c r="H1099">
        <v>3.9507042253521125</v>
      </c>
      <c r="I1099">
        <v>5.2208835341365459E-2</v>
      </c>
    </row>
    <row r="1100" spans="1:9">
      <c r="A1100">
        <v>2017</v>
      </c>
      <c r="B1100" s="1">
        <v>42826</v>
      </c>
      <c r="C1100" s="2" t="s">
        <v>16</v>
      </c>
      <c r="D1100">
        <v>277</v>
      </c>
      <c r="E1100">
        <v>234</v>
      </c>
      <c r="F1100">
        <v>29301.59</v>
      </c>
      <c r="G1100">
        <v>0.2129822302545776</v>
      </c>
      <c r="H1100">
        <v>3.9852398523985242</v>
      </c>
      <c r="I1100">
        <v>5.128205128205128E-2</v>
      </c>
    </row>
    <row r="1101" spans="1:9">
      <c r="A1101">
        <v>2017</v>
      </c>
      <c r="B1101" s="1">
        <v>42856</v>
      </c>
      <c r="C1101" s="2" t="s">
        <v>16</v>
      </c>
      <c r="D1101">
        <v>373</v>
      </c>
      <c r="E1101">
        <v>329</v>
      </c>
      <c r="F1101">
        <v>40139.629999999997</v>
      </c>
      <c r="G1101">
        <v>0.19941187788134843</v>
      </c>
      <c r="H1101">
        <v>4.1309192200557101</v>
      </c>
      <c r="I1101">
        <v>4.8632218844984802E-2</v>
      </c>
    </row>
    <row r="1102" spans="1:9">
      <c r="A1102">
        <v>2017</v>
      </c>
      <c r="B1102" s="1">
        <v>42887</v>
      </c>
      <c r="C1102" s="2" t="s">
        <v>16</v>
      </c>
      <c r="D1102">
        <v>392</v>
      </c>
      <c r="E1102">
        <v>335</v>
      </c>
      <c r="F1102">
        <v>42969</v>
      </c>
      <c r="G1102">
        <v>0.20011452351786607</v>
      </c>
      <c r="H1102">
        <v>4.0213333333333336</v>
      </c>
      <c r="I1102">
        <v>2.3880597014925373E-2</v>
      </c>
    </row>
    <row r="1103" spans="1:9">
      <c r="A1103">
        <v>2017</v>
      </c>
      <c r="B1103" s="1">
        <v>42917</v>
      </c>
      <c r="C1103" s="2" t="s">
        <v>16</v>
      </c>
      <c r="D1103">
        <v>583</v>
      </c>
      <c r="E1103">
        <v>513</v>
      </c>
      <c r="F1103">
        <v>75096.17</v>
      </c>
      <c r="G1103">
        <v>0.17802097637664827</v>
      </c>
      <c r="H1103">
        <v>4.0765124555160144</v>
      </c>
      <c r="I1103">
        <v>1.1695906432748537E-2</v>
      </c>
    </row>
    <row r="1104" spans="1:9">
      <c r="A1104">
        <v>2017</v>
      </c>
      <c r="B1104" s="1">
        <v>42948</v>
      </c>
      <c r="C1104" s="2" t="s">
        <v>16</v>
      </c>
      <c r="D1104">
        <v>522</v>
      </c>
      <c r="E1104">
        <v>448</v>
      </c>
      <c r="F1104">
        <v>67215</v>
      </c>
      <c r="G1104">
        <v>0.18133403909877829</v>
      </c>
      <c r="H1104">
        <v>4.0577689243027892</v>
      </c>
      <c r="I1104">
        <v>3.3482142857142856E-2</v>
      </c>
    </row>
    <row r="1105" spans="1:9">
      <c r="A1105">
        <v>2017</v>
      </c>
      <c r="B1105" s="1">
        <v>42979</v>
      </c>
      <c r="C1105" s="2" t="s">
        <v>16</v>
      </c>
      <c r="D1105">
        <v>535</v>
      </c>
      <c r="E1105">
        <v>461</v>
      </c>
      <c r="F1105">
        <v>62377.599999999999</v>
      </c>
      <c r="G1105">
        <v>0.19183423618960166</v>
      </c>
      <c r="H1105">
        <v>4.019047619047619</v>
      </c>
      <c r="I1105">
        <v>3.6876355748373099E-2</v>
      </c>
    </row>
    <row r="1106" spans="1:9">
      <c r="A1106">
        <v>2017</v>
      </c>
      <c r="B1106" s="1">
        <v>43009</v>
      </c>
      <c r="C1106" s="2" t="s">
        <v>16</v>
      </c>
      <c r="D1106">
        <v>547</v>
      </c>
      <c r="E1106">
        <v>445</v>
      </c>
      <c r="F1106">
        <v>55606.01</v>
      </c>
      <c r="G1106">
        <v>0.20702534097078812</v>
      </c>
      <c r="H1106">
        <v>3.8579439252336449</v>
      </c>
      <c r="I1106">
        <v>4.49438202247191E-2</v>
      </c>
    </row>
    <row r="1107" spans="1:9">
      <c r="A1107">
        <v>2017</v>
      </c>
      <c r="B1107" s="1">
        <v>43040</v>
      </c>
      <c r="C1107" s="2" t="s">
        <v>16</v>
      </c>
      <c r="D1107">
        <v>982</v>
      </c>
      <c r="E1107">
        <v>817</v>
      </c>
      <c r="F1107">
        <v>107277.52</v>
      </c>
      <c r="G1107">
        <v>0.1920851079015766</v>
      </c>
      <c r="H1107">
        <v>3.5788923719958201</v>
      </c>
      <c r="I1107">
        <v>0.21787025703794369</v>
      </c>
    </row>
    <row r="1108" spans="1:9">
      <c r="A1108">
        <v>2017</v>
      </c>
      <c r="B1108" s="1">
        <v>43070</v>
      </c>
      <c r="C1108" s="2" t="s">
        <v>16</v>
      </c>
      <c r="D1108">
        <v>557</v>
      </c>
      <c r="E1108">
        <v>481</v>
      </c>
      <c r="F1108">
        <v>60776.33</v>
      </c>
      <c r="G1108">
        <v>0.19047709559242076</v>
      </c>
      <c r="H1108">
        <v>3.8055045871559634</v>
      </c>
      <c r="I1108">
        <v>0.11226611226611227</v>
      </c>
    </row>
    <row r="1109" spans="1:9">
      <c r="A1109">
        <v>2018</v>
      </c>
      <c r="B1109" s="1">
        <v>43101</v>
      </c>
      <c r="C1109" s="2" t="s">
        <v>16</v>
      </c>
      <c r="D1109">
        <v>852</v>
      </c>
      <c r="E1109">
        <v>699</v>
      </c>
      <c r="F1109">
        <v>91146.23</v>
      </c>
      <c r="G1109">
        <v>0.19780154933835495</v>
      </c>
      <c r="H1109">
        <v>3.8585017835909632</v>
      </c>
      <c r="I1109">
        <v>4.7210300429184553E-2</v>
      </c>
    </row>
    <row r="1110" spans="1:9">
      <c r="A1110">
        <v>2018</v>
      </c>
      <c r="B1110" s="1">
        <v>43132</v>
      </c>
      <c r="C1110" s="2" t="s">
        <v>16</v>
      </c>
      <c r="D1110">
        <v>694</v>
      </c>
      <c r="E1110">
        <v>593</v>
      </c>
      <c r="F1110">
        <v>72235.33</v>
      </c>
      <c r="G1110">
        <v>0.19742223054749325</v>
      </c>
      <c r="H1110">
        <v>3.5578330893118593</v>
      </c>
      <c r="I1110">
        <v>0.21416526138279932</v>
      </c>
    </row>
    <row r="1111" spans="1:9">
      <c r="A1111">
        <v>2018</v>
      </c>
      <c r="B1111" s="1">
        <v>43160</v>
      </c>
      <c r="C1111" s="2" t="s">
        <v>16</v>
      </c>
      <c r="D1111">
        <v>807</v>
      </c>
      <c r="E1111">
        <v>670</v>
      </c>
      <c r="F1111">
        <v>84934.34</v>
      </c>
      <c r="G1111">
        <v>0.21430918082138609</v>
      </c>
      <c r="H1111">
        <v>3.5941845764854614</v>
      </c>
      <c r="I1111">
        <v>0.22686567164179106</v>
      </c>
    </row>
    <row r="1112" spans="1:9">
      <c r="A1112">
        <v>2018</v>
      </c>
      <c r="B1112" s="1">
        <v>43191</v>
      </c>
      <c r="C1112" s="2" t="s">
        <v>16</v>
      </c>
      <c r="D1112">
        <v>746</v>
      </c>
      <c r="E1112">
        <v>608</v>
      </c>
      <c r="F1112">
        <v>86731.4</v>
      </c>
      <c r="G1112">
        <v>0.20713513678543635</v>
      </c>
      <c r="H1112">
        <v>3.9441416893732968</v>
      </c>
      <c r="I1112">
        <v>5.7565789473684209E-2</v>
      </c>
    </row>
    <row r="1113" spans="1:9">
      <c r="A1113">
        <v>2018</v>
      </c>
      <c r="B1113" s="1">
        <v>43221</v>
      </c>
      <c r="C1113" s="2" t="s">
        <v>16</v>
      </c>
      <c r="D1113">
        <v>747</v>
      </c>
      <c r="E1113">
        <v>606</v>
      </c>
      <c r="F1113">
        <v>85173.53</v>
      </c>
      <c r="G1113">
        <v>0.1941075297937731</v>
      </c>
      <c r="H1113">
        <v>3.9768707482993197</v>
      </c>
      <c r="I1113">
        <v>6.4356435643564358E-2</v>
      </c>
    </row>
    <row r="1114" spans="1:9">
      <c r="A1114">
        <v>2018</v>
      </c>
      <c r="B1114" s="1">
        <v>43252</v>
      </c>
      <c r="C1114" s="2" t="s">
        <v>16</v>
      </c>
      <c r="D1114">
        <v>773</v>
      </c>
      <c r="E1114">
        <v>657</v>
      </c>
      <c r="F1114">
        <v>88024.74</v>
      </c>
      <c r="G1114">
        <v>0.22216190873418556</v>
      </c>
      <c r="H1114">
        <v>3.941022280471822</v>
      </c>
      <c r="I1114">
        <v>1.06544901065449E-2</v>
      </c>
    </row>
    <row r="1115" spans="1:9">
      <c r="A1115">
        <v>2018</v>
      </c>
      <c r="B1115" s="1">
        <v>43282</v>
      </c>
      <c r="C1115" s="2" t="s">
        <v>16</v>
      </c>
      <c r="D1115">
        <v>626</v>
      </c>
      <c r="E1115">
        <v>518</v>
      </c>
      <c r="F1115">
        <v>69077.36</v>
      </c>
      <c r="G1115">
        <v>0.23505083218835995</v>
      </c>
      <c r="H1115">
        <v>4.2190016103059582</v>
      </c>
      <c r="I1115">
        <v>1.5444015444015444E-2</v>
      </c>
    </row>
    <row r="1116" spans="1:9">
      <c r="A1116">
        <v>2018</v>
      </c>
      <c r="B1116" s="1">
        <v>43313</v>
      </c>
      <c r="C1116" s="2" t="s">
        <v>16</v>
      </c>
      <c r="D1116">
        <v>658</v>
      </c>
      <c r="E1116">
        <v>558</v>
      </c>
      <c r="F1116">
        <v>75207.83</v>
      </c>
      <c r="G1116">
        <v>0.22799509941729848</v>
      </c>
      <c r="H1116">
        <v>4.0779816513761471</v>
      </c>
      <c r="I1116">
        <v>5.5555555555555552E-2</v>
      </c>
    </row>
    <row r="1117" spans="1:9">
      <c r="A1117">
        <v>2017</v>
      </c>
      <c r="B1117" s="1">
        <v>42736</v>
      </c>
      <c r="C1117" s="2" t="s">
        <v>15</v>
      </c>
      <c r="D1117">
        <v>41</v>
      </c>
      <c r="E1117">
        <v>32</v>
      </c>
      <c r="F1117">
        <v>7139.93</v>
      </c>
      <c r="G1117">
        <v>0.22361105978368637</v>
      </c>
      <c r="H1117">
        <v>4.625</v>
      </c>
      <c r="I1117">
        <v>3.125E-2</v>
      </c>
    </row>
    <row r="1118" spans="1:9">
      <c r="A1118">
        <v>2017</v>
      </c>
      <c r="B1118" s="1">
        <v>42767</v>
      </c>
      <c r="C1118" s="2" t="s">
        <v>15</v>
      </c>
      <c r="D1118">
        <v>34</v>
      </c>
      <c r="E1118">
        <v>33</v>
      </c>
      <c r="F1118">
        <v>3714.29</v>
      </c>
      <c r="G1118">
        <v>0.25214263133429299</v>
      </c>
      <c r="H1118">
        <v>4.1515151515151514</v>
      </c>
      <c r="I1118">
        <v>3.0303030303030304E-2</v>
      </c>
    </row>
    <row r="1119" spans="1:9">
      <c r="A1119">
        <v>2017</v>
      </c>
      <c r="B1119" s="1">
        <v>42795</v>
      </c>
      <c r="C1119" s="2" t="s">
        <v>15</v>
      </c>
      <c r="D1119">
        <v>44</v>
      </c>
      <c r="E1119">
        <v>43</v>
      </c>
      <c r="F1119">
        <v>4486.33</v>
      </c>
      <c r="G1119">
        <v>0.2190431378128605</v>
      </c>
      <c r="H1119">
        <v>4.25</v>
      </c>
      <c r="I1119">
        <v>4.6511627906976744E-2</v>
      </c>
    </row>
    <row r="1120" spans="1:9">
      <c r="A1120">
        <v>2017</v>
      </c>
      <c r="B1120" s="1">
        <v>42826</v>
      </c>
      <c r="C1120" s="2" t="s">
        <v>15</v>
      </c>
      <c r="D1120">
        <v>51</v>
      </c>
      <c r="E1120">
        <v>48</v>
      </c>
      <c r="F1120">
        <v>4862.8500000000004</v>
      </c>
      <c r="G1120">
        <v>0.22076178640007374</v>
      </c>
      <c r="H1120">
        <v>3.7450980392156863</v>
      </c>
      <c r="I1120">
        <v>0.10416666666666667</v>
      </c>
    </row>
    <row r="1121" spans="1:9">
      <c r="A1121">
        <v>2017</v>
      </c>
      <c r="B1121" s="1">
        <v>42856</v>
      </c>
      <c r="C1121" s="2" t="s">
        <v>15</v>
      </c>
      <c r="D1121">
        <v>108</v>
      </c>
      <c r="E1121">
        <v>102</v>
      </c>
      <c r="F1121">
        <v>11727.82</v>
      </c>
      <c r="G1121">
        <v>0.21554932097693885</v>
      </c>
      <c r="H1121">
        <v>4.132075471698113</v>
      </c>
      <c r="I1121">
        <v>1.9607843137254902E-2</v>
      </c>
    </row>
    <row r="1122" spans="1:9">
      <c r="A1122">
        <v>2017</v>
      </c>
      <c r="B1122" s="1">
        <v>42887</v>
      </c>
      <c r="C1122" s="2" t="s">
        <v>15</v>
      </c>
      <c r="D1122">
        <v>78</v>
      </c>
      <c r="E1122">
        <v>72</v>
      </c>
      <c r="F1122">
        <v>9258.0499999999993</v>
      </c>
      <c r="G1122">
        <v>0.19140444878177876</v>
      </c>
      <c r="H1122">
        <v>3.6103896103896105</v>
      </c>
      <c r="I1122">
        <v>9.7222222222222224E-2</v>
      </c>
    </row>
    <row r="1123" spans="1:9">
      <c r="A1123">
        <v>2017</v>
      </c>
      <c r="B1123" s="1">
        <v>42917</v>
      </c>
      <c r="C1123" s="2" t="s">
        <v>15</v>
      </c>
      <c r="D1123">
        <v>129</v>
      </c>
      <c r="E1123">
        <v>124</v>
      </c>
      <c r="F1123">
        <v>18502.490000000002</v>
      </c>
      <c r="G1123">
        <v>0.17842762096989581</v>
      </c>
      <c r="H1123">
        <v>4.387596899224806</v>
      </c>
      <c r="I1123">
        <v>0</v>
      </c>
    </row>
    <row r="1124" spans="1:9">
      <c r="A1124">
        <v>2017</v>
      </c>
      <c r="B1124" s="1">
        <v>42948</v>
      </c>
      <c r="C1124" s="2" t="s">
        <v>15</v>
      </c>
      <c r="D1124">
        <v>133</v>
      </c>
      <c r="E1124">
        <v>125</v>
      </c>
      <c r="F1124">
        <v>23226.48</v>
      </c>
      <c r="G1124">
        <v>0.20208000535888365</v>
      </c>
      <c r="H1124">
        <v>4.2406015037593985</v>
      </c>
      <c r="I1124">
        <v>8.0000000000000002E-3</v>
      </c>
    </row>
    <row r="1125" spans="1:9">
      <c r="A1125">
        <v>2017</v>
      </c>
      <c r="B1125" s="1">
        <v>42979</v>
      </c>
      <c r="C1125" s="2" t="s">
        <v>15</v>
      </c>
      <c r="D1125">
        <v>174</v>
      </c>
      <c r="E1125">
        <v>165</v>
      </c>
      <c r="F1125">
        <v>28197</v>
      </c>
      <c r="G1125">
        <v>0.20428352854837706</v>
      </c>
      <c r="H1125">
        <v>4.0639534883720927</v>
      </c>
      <c r="I1125">
        <v>4.8484848484848485E-2</v>
      </c>
    </row>
    <row r="1126" spans="1:9">
      <c r="A1126">
        <v>2017</v>
      </c>
      <c r="B1126" s="1">
        <v>43009</v>
      </c>
      <c r="C1126" s="2" t="s">
        <v>15</v>
      </c>
      <c r="D1126">
        <v>138</v>
      </c>
      <c r="E1126">
        <v>134</v>
      </c>
      <c r="F1126">
        <v>19625.73</v>
      </c>
      <c r="G1126">
        <v>0.19864941971864183</v>
      </c>
      <c r="H1126">
        <v>4.3481481481481481</v>
      </c>
      <c r="I1126">
        <v>7.4626865671641784E-2</v>
      </c>
    </row>
    <row r="1127" spans="1:9">
      <c r="A1127">
        <v>2017</v>
      </c>
      <c r="B1127" s="1">
        <v>43040</v>
      </c>
      <c r="C1127" s="2" t="s">
        <v>15</v>
      </c>
      <c r="D1127">
        <v>203</v>
      </c>
      <c r="E1127">
        <v>190</v>
      </c>
      <c r="F1127">
        <v>25820.880000000001</v>
      </c>
      <c r="G1127">
        <v>0.20362594208305129</v>
      </c>
      <c r="H1127">
        <v>3.7326732673267329</v>
      </c>
      <c r="I1127">
        <v>0.1736842105263158</v>
      </c>
    </row>
    <row r="1128" spans="1:9">
      <c r="A1128">
        <v>2017</v>
      </c>
      <c r="B1128" s="1">
        <v>43070</v>
      </c>
      <c r="C1128" s="2" t="s">
        <v>15</v>
      </c>
      <c r="D1128">
        <v>143</v>
      </c>
      <c r="E1128">
        <v>139</v>
      </c>
      <c r="F1128">
        <v>22762.46</v>
      </c>
      <c r="G1128">
        <v>0.18099215706367267</v>
      </c>
      <c r="H1128">
        <v>3.7769784172661871</v>
      </c>
      <c r="I1128">
        <v>0.1366906474820144</v>
      </c>
    </row>
    <row r="1129" spans="1:9">
      <c r="A1129">
        <v>2018</v>
      </c>
      <c r="B1129" s="1">
        <v>43101</v>
      </c>
      <c r="C1129" s="2" t="s">
        <v>15</v>
      </c>
      <c r="D1129">
        <v>223</v>
      </c>
      <c r="E1129">
        <v>212</v>
      </c>
      <c r="F1129">
        <v>34819.06</v>
      </c>
      <c r="G1129">
        <v>0.1888222998053673</v>
      </c>
      <c r="H1129">
        <v>3.7692307692307692</v>
      </c>
      <c r="I1129">
        <v>0.11320754716981132</v>
      </c>
    </row>
    <row r="1130" spans="1:9">
      <c r="A1130">
        <v>2018</v>
      </c>
      <c r="B1130" s="1">
        <v>43132</v>
      </c>
      <c r="C1130" s="2" t="s">
        <v>15</v>
      </c>
      <c r="D1130">
        <v>176</v>
      </c>
      <c r="E1130">
        <v>169</v>
      </c>
      <c r="F1130">
        <v>29562.67</v>
      </c>
      <c r="G1130">
        <v>0.20235231985599292</v>
      </c>
      <c r="H1130">
        <v>3.7109826589595376</v>
      </c>
      <c r="I1130">
        <v>0.17159763313609466</v>
      </c>
    </row>
    <row r="1131" spans="1:9">
      <c r="A1131">
        <v>2018</v>
      </c>
      <c r="B1131" s="1">
        <v>43160</v>
      </c>
      <c r="C1131" s="2" t="s">
        <v>15</v>
      </c>
      <c r="D1131">
        <v>226</v>
      </c>
      <c r="E1131">
        <v>217</v>
      </c>
      <c r="F1131">
        <v>47257.760000000002</v>
      </c>
      <c r="G1131">
        <v>0.20968788734406624</v>
      </c>
      <c r="H1131">
        <v>3.6026785714285716</v>
      </c>
      <c r="I1131">
        <v>0.16589861751152074</v>
      </c>
    </row>
    <row r="1132" spans="1:9">
      <c r="A1132">
        <v>2018</v>
      </c>
      <c r="B1132" s="1">
        <v>43191</v>
      </c>
      <c r="C1132" s="2" t="s">
        <v>15</v>
      </c>
      <c r="D1132">
        <v>244</v>
      </c>
      <c r="E1132">
        <v>222</v>
      </c>
      <c r="F1132">
        <v>56814.41</v>
      </c>
      <c r="G1132">
        <v>0.19306617285746797</v>
      </c>
      <c r="H1132">
        <v>3.9670781893004117</v>
      </c>
      <c r="I1132">
        <v>5.4054054054054057E-2</v>
      </c>
    </row>
    <row r="1133" spans="1:9">
      <c r="A1133">
        <v>2018</v>
      </c>
      <c r="B1133" s="1">
        <v>43221</v>
      </c>
      <c r="C1133" s="2" t="s">
        <v>15</v>
      </c>
      <c r="D1133">
        <v>245</v>
      </c>
      <c r="E1133">
        <v>224</v>
      </c>
      <c r="F1133">
        <v>39504.839999999997</v>
      </c>
      <c r="G1133">
        <v>0.2067953129679071</v>
      </c>
      <c r="H1133">
        <v>4.1275720164609053</v>
      </c>
      <c r="I1133">
        <v>4.4642857142857144E-2</v>
      </c>
    </row>
    <row r="1134" spans="1:9">
      <c r="A1134">
        <v>2018</v>
      </c>
      <c r="B1134" s="1">
        <v>43252</v>
      </c>
      <c r="C1134" s="2" t="s">
        <v>15</v>
      </c>
      <c r="D1134">
        <v>225</v>
      </c>
      <c r="E1134">
        <v>207</v>
      </c>
      <c r="F1134">
        <v>37038.15</v>
      </c>
      <c r="G1134">
        <v>0.21170427579716358</v>
      </c>
      <c r="H1134">
        <v>4.188340807174888</v>
      </c>
      <c r="I1134">
        <v>4.830917874396135E-3</v>
      </c>
    </row>
    <row r="1135" spans="1:9">
      <c r="A1135">
        <v>2018</v>
      </c>
      <c r="B1135" s="1">
        <v>43282</v>
      </c>
      <c r="C1135" s="2" t="s">
        <v>15</v>
      </c>
      <c r="D1135">
        <v>222</v>
      </c>
      <c r="E1135">
        <v>210</v>
      </c>
      <c r="F1135">
        <v>27378.18</v>
      </c>
      <c r="G1135">
        <v>0.24681595652474411</v>
      </c>
      <c r="H1135">
        <v>4.2772727272727273</v>
      </c>
      <c r="I1135">
        <v>5.2380952380952382E-2</v>
      </c>
    </row>
    <row r="1136" spans="1:9">
      <c r="A1136">
        <v>2018</v>
      </c>
      <c r="B1136" s="1">
        <v>43313</v>
      </c>
      <c r="C1136" s="2" t="s">
        <v>15</v>
      </c>
      <c r="D1136">
        <v>217</v>
      </c>
      <c r="E1136">
        <v>206</v>
      </c>
      <c r="F1136">
        <v>26771.31</v>
      </c>
      <c r="G1136">
        <v>0.21585158773695337</v>
      </c>
      <c r="H1136">
        <v>4.1851851851851851</v>
      </c>
      <c r="I1136">
        <v>8.2524271844660199E-2</v>
      </c>
    </row>
    <row r="1137" spans="1:9">
      <c r="A1137">
        <v>2017</v>
      </c>
      <c r="B1137" s="1">
        <v>42736</v>
      </c>
      <c r="C1137" s="2" t="s">
        <v>14</v>
      </c>
      <c r="D1137">
        <v>34</v>
      </c>
      <c r="E1137">
        <v>30</v>
      </c>
      <c r="F1137">
        <v>5844.21</v>
      </c>
      <c r="G1137">
        <v>0.17700580211585193</v>
      </c>
      <c r="H1137">
        <v>3.5294117647058822</v>
      </c>
      <c r="I1137">
        <v>0</v>
      </c>
    </row>
    <row r="1138" spans="1:9">
      <c r="A1138">
        <v>2017</v>
      </c>
      <c r="B1138" s="1">
        <v>42767</v>
      </c>
      <c r="C1138" s="2" t="s">
        <v>14</v>
      </c>
      <c r="D1138">
        <v>87</v>
      </c>
      <c r="E1138">
        <v>77</v>
      </c>
      <c r="F1138">
        <v>15241.53</v>
      </c>
      <c r="G1138">
        <v>0.21112265381650674</v>
      </c>
      <c r="H1138">
        <v>4.2558139534883717</v>
      </c>
      <c r="I1138">
        <v>6.4935064935064929E-2</v>
      </c>
    </row>
    <row r="1139" spans="1:9">
      <c r="A1139">
        <v>2017</v>
      </c>
      <c r="B1139" s="1">
        <v>42795</v>
      </c>
      <c r="C1139" s="2" t="s">
        <v>14</v>
      </c>
      <c r="D1139">
        <v>87</v>
      </c>
      <c r="E1139">
        <v>76</v>
      </c>
      <c r="F1139">
        <v>16755.73</v>
      </c>
      <c r="G1139">
        <v>0.1925792625232346</v>
      </c>
      <c r="H1139">
        <v>4.0804597701149428</v>
      </c>
      <c r="I1139">
        <v>0.10526315789473684</v>
      </c>
    </row>
    <row r="1140" spans="1:9">
      <c r="A1140">
        <v>2017</v>
      </c>
      <c r="B1140" s="1">
        <v>42826</v>
      </c>
      <c r="C1140" s="2" t="s">
        <v>14</v>
      </c>
      <c r="D1140">
        <v>88</v>
      </c>
      <c r="E1140">
        <v>81</v>
      </c>
      <c r="F1140">
        <v>17799.93</v>
      </c>
      <c r="G1140">
        <v>0.18485717870284782</v>
      </c>
      <c r="H1140">
        <v>3.8522727272727275</v>
      </c>
      <c r="I1140">
        <v>7.407407407407407E-2</v>
      </c>
    </row>
    <row r="1141" spans="1:9">
      <c r="A1141">
        <v>2017</v>
      </c>
      <c r="B1141" s="1">
        <v>42856</v>
      </c>
      <c r="C1141" s="2" t="s">
        <v>14</v>
      </c>
      <c r="D1141">
        <v>125</v>
      </c>
      <c r="E1141">
        <v>106</v>
      </c>
      <c r="F1141">
        <v>21631.7</v>
      </c>
      <c r="G1141">
        <v>0.21392115135495857</v>
      </c>
      <c r="H1141">
        <v>4.008064516129032</v>
      </c>
      <c r="I1141">
        <v>4.716981132075472E-2</v>
      </c>
    </row>
    <row r="1142" spans="1:9">
      <c r="A1142">
        <v>2017</v>
      </c>
      <c r="B1142" s="1">
        <v>42887</v>
      </c>
      <c r="C1142" s="2" t="s">
        <v>14</v>
      </c>
      <c r="D1142">
        <v>112</v>
      </c>
      <c r="E1142">
        <v>103</v>
      </c>
      <c r="F1142">
        <v>33693.74</v>
      </c>
      <c r="G1142">
        <v>0.17965016659855798</v>
      </c>
      <c r="H1142">
        <v>3.9454545454545453</v>
      </c>
      <c r="I1142">
        <v>8.7378640776699032E-2</v>
      </c>
    </row>
    <row r="1143" spans="1:9">
      <c r="A1143">
        <v>2017</v>
      </c>
      <c r="B1143" s="1">
        <v>42917</v>
      </c>
      <c r="C1143" s="2" t="s">
        <v>14</v>
      </c>
      <c r="D1143">
        <v>117</v>
      </c>
      <c r="E1143">
        <v>106</v>
      </c>
      <c r="F1143">
        <v>16490.82</v>
      </c>
      <c r="G1143">
        <v>0.24101784988868508</v>
      </c>
      <c r="H1143">
        <v>4.1293103448275863</v>
      </c>
      <c r="I1143">
        <v>4.716981132075472E-2</v>
      </c>
    </row>
    <row r="1144" spans="1:9">
      <c r="A1144">
        <v>2017</v>
      </c>
      <c r="B1144" s="1">
        <v>42948</v>
      </c>
      <c r="C1144" s="2" t="s">
        <v>14</v>
      </c>
      <c r="D1144">
        <v>166</v>
      </c>
      <c r="E1144">
        <v>133</v>
      </c>
      <c r="F1144">
        <v>23881.54</v>
      </c>
      <c r="G1144">
        <v>0.20386714326865332</v>
      </c>
      <c r="H1144">
        <v>4.2054794520547949</v>
      </c>
      <c r="I1144">
        <v>1.5037593984962405E-2</v>
      </c>
    </row>
    <row r="1145" spans="1:9">
      <c r="A1145">
        <v>2017</v>
      </c>
      <c r="B1145" s="1">
        <v>42979</v>
      </c>
      <c r="C1145" s="2" t="s">
        <v>14</v>
      </c>
      <c r="D1145">
        <v>108</v>
      </c>
      <c r="E1145">
        <v>97</v>
      </c>
      <c r="F1145">
        <v>16931.46</v>
      </c>
      <c r="G1145">
        <v>0.20345801138043668</v>
      </c>
      <c r="H1145">
        <v>4.0566037735849054</v>
      </c>
      <c r="I1145">
        <v>8.247422680412371E-2</v>
      </c>
    </row>
    <row r="1146" spans="1:9">
      <c r="A1146">
        <v>2017</v>
      </c>
      <c r="B1146" s="1">
        <v>43009</v>
      </c>
      <c r="C1146" s="2" t="s">
        <v>14</v>
      </c>
      <c r="D1146">
        <v>150</v>
      </c>
      <c r="E1146">
        <v>132</v>
      </c>
      <c r="F1146">
        <v>24947.95</v>
      </c>
      <c r="G1146">
        <v>0.20526617717417178</v>
      </c>
      <c r="H1146">
        <v>4.0599999999999996</v>
      </c>
      <c r="I1146">
        <v>1.5151515151515152E-2</v>
      </c>
    </row>
    <row r="1147" spans="1:9">
      <c r="A1147">
        <v>2017</v>
      </c>
      <c r="B1147" s="1">
        <v>43040</v>
      </c>
      <c r="C1147" s="2" t="s">
        <v>14</v>
      </c>
      <c r="D1147">
        <v>264</v>
      </c>
      <c r="E1147">
        <v>245</v>
      </c>
      <c r="F1147">
        <v>40635.050000000003</v>
      </c>
      <c r="G1147">
        <v>0.21374958993518006</v>
      </c>
      <c r="H1147">
        <v>3.946360153256705</v>
      </c>
      <c r="I1147">
        <v>0.12244897959183673</v>
      </c>
    </row>
    <row r="1148" spans="1:9">
      <c r="A1148">
        <v>2017</v>
      </c>
      <c r="B1148" s="1">
        <v>43070</v>
      </c>
      <c r="C1148" s="2" t="s">
        <v>14</v>
      </c>
      <c r="D1148">
        <v>268</v>
      </c>
      <c r="E1148">
        <v>243</v>
      </c>
      <c r="F1148">
        <v>45123.01</v>
      </c>
      <c r="G1148">
        <v>0.19677836841188351</v>
      </c>
      <c r="H1148">
        <v>3.9384615384615387</v>
      </c>
      <c r="I1148">
        <v>8.6419753086419748E-2</v>
      </c>
    </row>
    <row r="1149" spans="1:9">
      <c r="A1149">
        <v>2018</v>
      </c>
      <c r="B1149" s="1">
        <v>43101</v>
      </c>
      <c r="C1149" s="2" t="s">
        <v>14</v>
      </c>
      <c r="D1149">
        <v>268</v>
      </c>
      <c r="E1149">
        <v>244</v>
      </c>
      <c r="F1149">
        <v>41296.53</v>
      </c>
      <c r="G1149">
        <v>0.18986499584873714</v>
      </c>
      <c r="H1149">
        <v>4.0601503759398492</v>
      </c>
      <c r="I1149">
        <v>6.9672131147540978E-2</v>
      </c>
    </row>
    <row r="1150" spans="1:9">
      <c r="A1150">
        <v>2018</v>
      </c>
      <c r="B1150" s="1">
        <v>43132</v>
      </c>
      <c r="C1150" s="2" t="s">
        <v>14</v>
      </c>
      <c r="D1150">
        <v>321</v>
      </c>
      <c r="E1150">
        <v>303</v>
      </c>
      <c r="F1150">
        <v>48314.92</v>
      </c>
      <c r="G1150">
        <v>0.21248625579820815</v>
      </c>
      <c r="H1150">
        <v>3.8980891719745223</v>
      </c>
      <c r="I1150">
        <v>0.10891089108910891</v>
      </c>
    </row>
    <row r="1151" spans="1:9">
      <c r="A1151">
        <v>2018</v>
      </c>
      <c r="B1151" s="1">
        <v>43160</v>
      </c>
      <c r="C1151" s="2" t="s">
        <v>14</v>
      </c>
      <c r="D1151">
        <v>344</v>
      </c>
      <c r="E1151">
        <v>325</v>
      </c>
      <c r="F1151">
        <v>52812.75</v>
      </c>
      <c r="G1151">
        <v>0.21554424064198383</v>
      </c>
      <c r="H1151">
        <v>3.8112094395280236</v>
      </c>
      <c r="I1151">
        <v>0.19384615384615383</v>
      </c>
    </row>
    <row r="1152" spans="1:9">
      <c r="A1152">
        <v>2018</v>
      </c>
      <c r="B1152" s="1">
        <v>43191</v>
      </c>
      <c r="C1152" s="2" t="s">
        <v>14</v>
      </c>
      <c r="D1152">
        <v>356</v>
      </c>
      <c r="E1152">
        <v>336</v>
      </c>
      <c r="F1152">
        <v>57072.56</v>
      </c>
      <c r="G1152">
        <v>0.21047778982890647</v>
      </c>
      <c r="H1152">
        <v>4.1011235955056176</v>
      </c>
      <c r="I1152">
        <v>5.0595238095238096E-2</v>
      </c>
    </row>
    <row r="1153" spans="1:9">
      <c r="A1153">
        <v>2018</v>
      </c>
      <c r="B1153" s="1">
        <v>43221</v>
      </c>
      <c r="C1153" s="2" t="s">
        <v>14</v>
      </c>
      <c r="D1153">
        <v>311</v>
      </c>
      <c r="E1153">
        <v>298</v>
      </c>
      <c r="F1153">
        <v>48221.05</v>
      </c>
      <c r="G1153">
        <v>0.21764335215682606</v>
      </c>
      <c r="H1153">
        <v>4.141479099678457</v>
      </c>
      <c r="I1153">
        <v>8.3892617449664433E-2</v>
      </c>
    </row>
    <row r="1154" spans="1:9">
      <c r="A1154">
        <v>2018</v>
      </c>
      <c r="B1154" s="1">
        <v>43252</v>
      </c>
      <c r="C1154" s="2" t="s">
        <v>14</v>
      </c>
      <c r="D1154">
        <v>300</v>
      </c>
      <c r="E1154">
        <v>272</v>
      </c>
      <c r="F1154">
        <v>52446.51</v>
      </c>
      <c r="G1154">
        <v>0.24538359904105211</v>
      </c>
      <c r="H1154">
        <v>4.1103678929765888</v>
      </c>
      <c r="I1154">
        <v>2.2058823529411766E-2</v>
      </c>
    </row>
    <row r="1155" spans="1:9">
      <c r="A1155">
        <v>2018</v>
      </c>
      <c r="B1155" s="1">
        <v>43282</v>
      </c>
      <c r="C1155" s="2" t="s">
        <v>14</v>
      </c>
      <c r="D1155">
        <v>344</v>
      </c>
      <c r="E1155">
        <v>327</v>
      </c>
      <c r="F1155">
        <v>51187.78</v>
      </c>
      <c r="G1155">
        <v>0.23161977301942011</v>
      </c>
      <c r="H1155">
        <v>4.3935860058309038</v>
      </c>
      <c r="I1155">
        <v>2.4464831804281346E-2</v>
      </c>
    </row>
    <row r="1156" spans="1:9">
      <c r="A1156">
        <v>2018</v>
      </c>
      <c r="B1156" s="1">
        <v>43313</v>
      </c>
      <c r="C1156" s="2" t="s">
        <v>14</v>
      </c>
      <c r="D1156">
        <v>377</v>
      </c>
      <c r="E1156">
        <v>352</v>
      </c>
      <c r="F1156">
        <v>53075.08</v>
      </c>
      <c r="G1156">
        <v>0.24088705858890874</v>
      </c>
      <c r="H1156">
        <v>4.2560000000000002</v>
      </c>
      <c r="I1156">
        <v>5.9659090909090912E-2</v>
      </c>
    </row>
    <row r="1157" spans="1:9">
      <c r="A1157">
        <v>2017</v>
      </c>
      <c r="B1157" s="1">
        <v>42767</v>
      </c>
      <c r="C1157" s="2" t="s">
        <v>13</v>
      </c>
      <c r="D1157">
        <v>5</v>
      </c>
      <c r="E1157">
        <v>5</v>
      </c>
      <c r="F1157">
        <v>247.85</v>
      </c>
      <c r="G1157">
        <v>0.3548994294511616</v>
      </c>
      <c r="H1157">
        <v>3.4</v>
      </c>
      <c r="I1157">
        <v>0</v>
      </c>
    </row>
    <row r="1158" spans="1:9">
      <c r="A1158">
        <v>2017</v>
      </c>
      <c r="B1158" s="1">
        <v>42795</v>
      </c>
      <c r="C1158" s="2" t="s">
        <v>13</v>
      </c>
      <c r="D1158">
        <v>14</v>
      </c>
      <c r="E1158">
        <v>13</v>
      </c>
      <c r="F1158">
        <v>1367.4</v>
      </c>
      <c r="G1158">
        <v>0.19030637476059709</v>
      </c>
      <c r="H1158">
        <v>3.8571428571428572</v>
      </c>
      <c r="I1158">
        <v>7.6923076923076927E-2</v>
      </c>
    </row>
    <row r="1159" spans="1:9">
      <c r="A1159">
        <v>2017</v>
      </c>
      <c r="B1159" s="1">
        <v>42826</v>
      </c>
      <c r="C1159" s="2" t="s">
        <v>13</v>
      </c>
      <c r="D1159">
        <v>11</v>
      </c>
      <c r="E1159">
        <v>9</v>
      </c>
      <c r="F1159">
        <v>1103.95</v>
      </c>
      <c r="G1159">
        <v>0.15233973518931895</v>
      </c>
      <c r="H1159">
        <v>3.5454545454545454</v>
      </c>
      <c r="I1159">
        <v>0.1111111111111111</v>
      </c>
    </row>
    <row r="1160" spans="1:9">
      <c r="A1160">
        <v>2017</v>
      </c>
      <c r="B1160" s="1">
        <v>42856</v>
      </c>
      <c r="C1160" s="2" t="s">
        <v>13</v>
      </c>
      <c r="D1160">
        <v>17</v>
      </c>
      <c r="E1160">
        <v>17</v>
      </c>
      <c r="F1160">
        <v>2333.19</v>
      </c>
      <c r="G1160">
        <v>0.12103160251198852</v>
      </c>
      <c r="H1160">
        <v>4.1764705882352944</v>
      </c>
      <c r="I1160">
        <v>5.8823529411764705E-2</v>
      </c>
    </row>
    <row r="1161" spans="1:9">
      <c r="A1161">
        <v>2017</v>
      </c>
      <c r="B1161" s="1">
        <v>42887</v>
      </c>
      <c r="C1161" s="2" t="s">
        <v>13</v>
      </c>
      <c r="D1161">
        <v>11</v>
      </c>
      <c r="E1161">
        <v>11</v>
      </c>
      <c r="F1161">
        <v>1818.24</v>
      </c>
      <c r="G1161">
        <v>9.8484497972805521E-2</v>
      </c>
      <c r="H1161">
        <v>3.9090909090909092</v>
      </c>
      <c r="I1161">
        <v>9.0909090909090912E-2</v>
      </c>
    </row>
    <row r="1162" spans="1:9">
      <c r="A1162">
        <v>2017</v>
      </c>
      <c r="B1162" s="1">
        <v>42917</v>
      </c>
      <c r="C1162" s="2" t="s">
        <v>13</v>
      </c>
      <c r="D1162">
        <v>7</v>
      </c>
      <c r="E1162">
        <v>7</v>
      </c>
      <c r="F1162">
        <v>883.23</v>
      </c>
      <c r="G1162">
        <v>0.15767970340689835</v>
      </c>
      <c r="H1162">
        <v>4.166666666666667</v>
      </c>
      <c r="I1162">
        <v>0.14285714285714285</v>
      </c>
    </row>
    <row r="1163" spans="1:9">
      <c r="A1163">
        <v>2017</v>
      </c>
      <c r="B1163" s="1">
        <v>42948</v>
      </c>
      <c r="C1163" s="2" t="s">
        <v>13</v>
      </c>
      <c r="D1163">
        <v>7</v>
      </c>
      <c r="E1163">
        <v>7</v>
      </c>
      <c r="F1163">
        <v>1146.44</v>
      </c>
      <c r="G1163">
        <v>0.13575569344676175</v>
      </c>
      <c r="H1163">
        <v>3.8571428571428572</v>
      </c>
      <c r="I1163">
        <v>0</v>
      </c>
    </row>
    <row r="1164" spans="1:9">
      <c r="A1164">
        <v>2017</v>
      </c>
      <c r="B1164" s="1">
        <v>42979</v>
      </c>
      <c r="C1164" s="2" t="s">
        <v>13</v>
      </c>
      <c r="D1164">
        <v>10</v>
      </c>
      <c r="E1164">
        <v>10</v>
      </c>
      <c r="F1164">
        <v>1191.79</v>
      </c>
      <c r="G1164">
        <v>0.14430220195000171</v>
      </c>
      <c r="H1164">
        <v>4.0999999999999996</v>
      </c>
      <c r="I1164">
        <v>0.3</v>
      </c>
    </row>
    <row r="1165" spans="1:9">
      <c r="A1165">
        <v>2017</v>
      </c>
      <c r="B1165" s="1">
        <v>43009</v>
      </c>
      <c r="C1165" s="2" t="s">
        <v>13</v>
      </c>
      <c r="D1165">
        <v>32</v>
      </c>
      <c r="E1165">
        <v>32</v>
      </c>
      <c r="F1165">
        <v>2728.73</v>
      </c>
      <c r="G1165">
        <v>0.20070070540529186</v>
      </c>
      <c r="H1165">
        <v>3.5161290322580645</v>
      </c>
      <c r="I1165">
        <v>9.375E-2</v>
      </c>
    </row>
    <row r="1166" spans="1:9">
      <c r="A1166">
        <v>2017</v>
      </c>
      <c r="B1166" s="1">
        <v>43040</v>
      </c>
      <c r="C1166" s="2" t="s">
        <v>13</v>
      </c>
      <c r="D1166">
        <v>36</v>
      </c>
      <c r="E1166">
        <v>33</v>
      </c>
      <c r="F1166">
        <v>4195.1400000000003</v>
      </c>
      <c r="G1166">
        <v>0.22570244901715544</v>
      </c>
      <c r="H1166">
        <v>3.5555555555555558</v>
      </c>
      <c r="I1166">
        <v>0.18181818181818182</v>
      </c>
    </row>
    <row r="1167" spans="1:9">
      <c r="A1167">
        <v>2017</v>
      </c>
      <c r="B1167" s="1">
        <v>43070</v>
      </c>
      <c r="C1167" s="2" t="s">
        <v>13</v>
      </c>
      <c r="D1167">
        <v>17</v>
      </c>
      <c r="E1167">
        <v>17</v>
      </c>
      <c r="F1167">
        <v>2941.12</v>
      </c>
      <c r="G1167">
        <v>0.18351359073608095</v>
      </c>
      <c r="H1167">
        <v>4.1764705882352944</v>
      </c>
      <c r="I1167">
        <v>0.11764705882352941</v>
      </c>
    </row>
    <row r="1168" spans="1:9">
      <c r="A1168">
        <v>2018</v>
      </c>
      <c r="B1168" s="1">
        <v>43101</v>
      </c>
      <c r="C1168" s="2" t="s">
        <v>13</v>
      </c>
      <c r="D1168">
        <v>26</v>
      </c>
      <c r="E1168">
        <v>25</v>
      </c>
      <c r="F1168">
        <v>4233.3900000000003</v>
      </c>
      <c r="G1168">
        <v>0.19036707084595239</v>
      </c>
      <c r="H1168">
        <v>4.115384615384615</v>
      </c>
      <c r="I1168">
        <v>0</v>
      </c>
    </row>
    <row r="1169" spans="1:9">
      <c r="A1169">
        <v>2018</v>
      </c>
      <c r="B1169" s="1">
        <v>43132</v>
      </c>
      <c r="C1169" s="2" t="s">
        <v>13</v>
      </c>
      <c r="D1169">
        <v>15</v>
      </c>
      <c r="E1169">
        <v>15</v>
      </c>
      <c r="F1169">
        <v>3038.58</v>
      </c>
      <c r="G1169">
        <v>0.15118448510942573</v>
      </c>
      <c r="H1169">
        <v>3.2666666666666666</v>
      </c>
      <c r="I1169">
        <v>0.33333333333333331</v>
      </c>
    </row>
    <row r="1170" spans="1:9">
      <c r="A1170">
        <v>2018</v>
      </c>
      <c r="B1170" s="1">
        <v>43160</v>
      </c>
      <c r="C1170" s="2" t="s">
        <v>13</v>
      </c>
      <c r="D1170">
        <v>34</v>
      </c>
      <c r="E1170">
        <v>33</v>
      </c>
      <c r="F1170">
        <v>11264.37</v>
      </c>
      <c r="G1170">
        <v>0.13225419349258202</v>
      </c>
      <c r="H1170">
        <v>2.9411764705882355</v>
      </c>
      <c r="I1170">
        <v>0.42424242424242425</v>
      </c>
    </row>
    <row r="1171" spans="1:9">
      <c r="A1171">
        <v>2018</v>
      </c>
      <c r="B1171" s="1">
        <v>43191</v>
      </c>
      <c r="C1171" s="2" t="s">
        <v>13</v>
      </c>
      <c r="D1171">
        <v>31</v>
      </c>
      <c r="E1171">
        <v>30</v>
      </c>
      <c r="F1171">
        <v>7571.46</v>
      </c>
      <c r="G1171">
        <v>0.18976459702160886</v>
      </c>
      <c r="H1171">
        <v>4.096774193548387</v>
      </c>
      <c r="I1171">
        <v>0</v>
      </c>
    </row>
    <row r="1172" spans="1:9">
      <c r="A1172">
        <v>2018</v>
      </c>
      <c r="B1172" s="1">
        <v>43221</v>
      </c>
      <c r="C1172" s="2" t="s">
        <v>13</v>
      </c>
      <c r="D1172">
        <v>21</v>
      </c>
      <c r="E1172">
        <v>20</v>
      </c>
      <c r="F1172">
        <v>3044.54</v>
      </c>
      <c r="G1172">
        <v>0.27202976352083241</v>
      </c>
      <c r="H1172">
        <v>3.7619047619047619</v>
      </c>
      <c r="I1172">
        <v>0.2</v>
      </c>
    </row>
    <row r="1173" spans="1:9">
      <c r="A1173">
        <v>2018</v>
      </c>
      <c r="B1173" s="1">
        <v>43252</v>
      </c>
      <c r="C1173" s="2" t="s">
        <v>13</v>
      </c>
      <c r="D1173">
        <v>20</v>
      </c>
      <c r="E1173">
        <v>19</v>
      </c>
      <c r="F1173">
        <v>2228.39</v>
      </c>
      <c r="G1173">
        <v>0.36693983396657226</v>
      </c>
      <c r="H1173">
        <v>4.2222222222222223</v>
      </c>
      <c r="I1173">
        <v>0</v>
      </c>
    </row>
    <row r="1174" spans="1:9">
      <c r="A1174">
        <v>2018</v>
      </c>
      <c r="B1174" s="1">
        <v>43282</v>
      </c>
      <c r="C1174" s="2" t="s">
        <v>13</v>
      </c>
      <c r="D1174">
        <v>22</v>
      </c>
      <c r="E1174">
        <v>21</v>
      </c>
      <c r="F1174">
        <v>2409</v>
      </c>
      <c r="G1174">
        <v>0.29042445546640583</v>
      </c>
      <c r="H1174">
        <v>4.4090909090909092</v>
      </c>
      <c r="I1174">
        <v>0</v>
      </c>
    </row>
    <row r="1175" spans="1:9">
      <c r="A1175">
        <v>2018</v>
      </c>
      <c r="B1175" s="1">
        <v>43313</v>
      </c>
      <c r="C1175" s="2" t="s">
        <v>13</v>
      </c>
      <c r="D1175">
        <v>26</v>
      </c>
      <c r="E1175">
        <v>24</v>
      </c>
      <c r="F1175">
        <v>2469.1</v>
      </c>
      <c r="G1175">
        <v>0.30043379373693768</v>
      </c>
      <c r="H1175">
        <v>4.2307692307692308</v>
      </c>
      <c r="I1175">
        <v>0</v>
      </c>
    </row>
    <row r="1176" spans="1:9">
      <c r="A1176">
        <v>2017</v>
      </c>
      <c r="B1176" s="1">
        <v>42856</v>
      </c>
      <c r="C1176" s="2" t="s">
        <v>73</v>
      </c>
      <c r="D1176">
        <v>1</v>
      </c>
      <c r="E1176">
        <v>1</v>
      </c>
      <c r="F1176">
        <v>29.66</v>
      </c>
      <c r="G1176">
        <v>0.25859743762643289</v>
      </c>
      <c r="H1176">
        <v>5</v>
      </c>
      <c r="I1176">
        <v>0</v>
      </c>
    </row>
    <row r="1177" spans="1:9">
      <c r="A1177">
        <v>2017</v>
      </c>
      <c r="B1177" s="1">
        <v>42917</v>
      </c>
      <c r="C1177" s="2" t="s">
        <v>73</v>
      </c>
      <c r="D1177">
        <v>1</v>
      </c>
      <c r="E1177">
        <v>1</v>
      </c>
      <c r="F1177">
        <v>145.56</v>
      </c>
      <c r="G1177">
        <v>0.10758450123660346</v>
      </c>
      <c r="H1177">
        <v>5</v>
      </c>
      <c r="I1177">
        <v>0</v>
      </c>
    </row>
    <row r="1178" spans="1:9">
      <c r="A1178">
        <v>2018</v>
      </c>
      <c r="B1178" s="1">
        <v>43191</v>
      </c>
      <c r="C1178" s="2" t="s">
        <v>73</v>
      </c>
      <c r="D1178">
        <v>1</v>
      </c>
      <c r="E1178">
        <v>1</v>
      </c>
      <c r="F1178">
        <v>34.22</v>
      </c>
      <c r="G1178">
        <v>0.53272939801285801</v>
      </c>
      <c r="H1178">
        <v>4</v>
      </c>
      <c r="I1178">
        <v>0</v>
      </c>
    </row>
    <row r="1179" spans="1:9">
      <c r="A1179">
        <v>2018</v>
      </c>
      <c r="B1179" s="1">
        <v>43221</v>
      </c>
      <c r="C1179" s="2" t="s">
        <v>73</v>
      </c>
      <c r="D1179">
        <v>1</v>
      </c>
      <c r="E1179">
        <v>1</v>
      </c>
      <c r="F1179">
        <v>101.05</v>
      </c>
      <c r="G1179">
        <v>0.11133102424542306</v>
      </c>
      <c r="H1179">
        <v>4</v>
      </c>
      <c r="I1179">
        <v>0</v>
      </c>
    </row>
    <row r="1180" spans="1:9">
      <c r="A1180">
        <v>2018</v>
      </c>
      <c r="B1180" s="1">
        <v>43282</v>
      </c>
      <c r="C1180" s="2" t="s">
        <v>73</v>
      </c>
      <c r="D1180">
        <v>11</v>
      </c>
      <c r="E1180">
        <v>10</v>
      </c>
      <c r="F1180">
        <v>804.6</v>
      </c>
      <c r="G1180">
        <v>0.25051008007000375</v>
      </c>
      <c r="H1180">
        <v>3.6363636363636362</v>
      </c>
      <c r="I1180">
        <v>0.1</v>
      </c>
    </row>
    <row r="1181" spans="1:9">
      <c r="A1181">
        <v>2018</v>
      </c>
      <c r="B1181" s="1">
        <v>43313</v>
      </c>
      <c r="C1181" s="2" t="s">
        <v>73</v>
      </c>
      <c r="D1181">
        <v>9</v>
      </c>
      <c r="E1181">
        <v>9</v>
      </c>
      <c r="F1181">
        <v>1069.05</v>
      </c>
      <c r="G1181">
        <v>0.22616695910462117</v>
      </c>
      <c r="H1181">
        <v>4.5555555555555554</v>
      </c>
      <c r="I1181">
        <v>0</v>
      </c>
    </row>
    <row r="1182" spans="1:9">
      <c r="A1182">
        <v>2017</v>
      </c>
      <c r="B1182" s="1">
        <v>42795</v>
      </c>
      <c r="C1182" s="2" t="s">
        <v>64</v>
      </c>
      <c r="D1182">
        <v>5</v>
      </c>
      <c r="E1182">
        <v>5</v>
      </c>
      <c r="F1182">
        <v>320.83999999999997</v>
      </c>
      <c r="G1182">
        <v>0.37916192241434421</v>
      </c>
      <c r="H1182">
        <v>4</v>
      </c>
      <c r="I1182">
        <v>0</v>
      </c>
    </row>
    <row r="1183" spans="1:9">
      <c r="A1183">
        <v>2017</v>
      </c>
      <c r="B1183" s="1">
        <v>42826</v>
      </c>
      <c r="C1183" s="2" t="s">
        <v>64</v>
      </c>
      <c r="D1183">
        <v>1</v>
      </c>
      <c r="E1183">
        <v>1</v>
      </c>
      <c r="F1183">
        <v>147.16999999999999</v>
      </c>
      <c r="G1183">
        <v>0.18529591628728681</v>
      </c>
      <c r="H1183">
        <v>4</v>
      </c>
      <c r="I1183">
        <v>0</v>
      </c>
    </row>
    <row r="1184" spans="1:9">
      <c r="A1184">
        <v>2017</v>
      </c>
      <c r="B1184" s="1">
        <v>42856</v>
      </c>
      <c r="C1184" s="2" t="s">
        <v>64</v>
      </c>
      <c r="D1184">
        <v>8</v>
      </c>
      <c r="E1184">
        <v>8</v>
      </c>
      <c r="F1184">
        <v>7365.95</v>
      </c>
      <c r="G1184">
        <v>0.30070807191755117</v>
      </c>
      <c r="H1184">
        <v>4.4285714285714288</v>
      </c>
      <c r="I1184">
        <v>0</v>
      </c>
    </row>
    <row r="1185" spans="1:9">
      <c r="A1185">
        <v>2017</v>
      </c>
      <c r="B1185" s="1">
        <v>42887</v>
      </c>
      <c r="C1185" s="2" t="s">
        <v>64</v>
      </c>
      <c r="D1185">
        <v>10</v>
      </c>
      <c r="E1185">
        <v>5</v>
      </c>
      <c r="F1185">
        <v>631.79</v>
      </c>
      <c r="G1185">
        <v>0.34964393343673345</v>
      </c>
      <c r="H1185">
        <v>2.3333333333333335</v>
      </c>
      <c r="I1185">
        <v>0</v>
      </c>
    </row>
    <row r="1186" spans="1:9">
      <c r="A1186">
        <v>2017</v>
      </c>
      <c r="B1186" s="1">
        <v>42917</v>
      </c>
      <c r="C1186" s="2" t="s">
        <v>64</v>
      </c>
      <c r="D1186">
        <v>3</v>
      </c>
      <c r="E1186">
        <v>3</v>
      </c>
      <c r="F1186">
        <v>424.9</v>
      </c>
      <c r="G1186">
        <v>0.14640910332141222</v>
      </c>
      <c r="H1186">
        <v>4.333333333333333</v>
      </c>
      <c r="I1186">
        <v>0</v>
      </c>
    </row>
    <row r="1187" spans="1:9">
      <c r="A1187">
        <v>2017</v>
      </c>
      <c r="B1187" s="1">
        <v>42948</v>
      </c>
      <c r="C1187" s="2" t="s">
        <v>64</v>
      </c>
      <c r="D1187">
        <v>4</v>
      </c>
      <c r="E1187">
        <v>4</v>
      </c>
      <c r="F1187">
        <v>317.06</v>
      </c>
      <c r="G1187">
        <v>0.24934143816815316</v>
      </c>
      <c r="H1187">
        <v>4.25</v>
      </c>
      <c r="I1187">
        <v>0</v>
      </c>
    </row>
    <row r="1188" spans="1:9">
      <c r="A1188">
        <v>2017</v>
      </c>
      <c r="B1188" s="1">
        <v>42979</v>
      </c>
      <c r="C1188" s="2" t="s">
        <v>64</v>
      </c>
      <c r="D1188">
        <v>3</v>
      </c>
      <c r="E1188">
        <v>3</v>
      </c>
      <c r="F1188">
        <v>435.85</v>
      </c>
      <c r="G1188">
        <v>0.18361197044901378</v>
      </c>
      <c r="H1188">
        <v>3.3333333333333335</v>
      </c>
      <c r="I1188">
        <v>0</v>
      </c>
    </row>
    <row r="1189" spans="1:9">
      <c r="A1189">
        <v>2017</v>
      </c>
      <c r="B1189" s="1">
        <v>43009</v>
      </c>
      <c r="C1189" s="2" t="s">
        <v>64</v>
      </c>
      <c r="D1189">
        <v>3</v>
      </c>
      <c r="E1189">
        <v>3</v>
      </c>
      <c r="F1189">
        <v>400.45</v>
      </c>
      <c r="G1189">
        <v>0.16149419965855386</v>
      </c>
      <c r="H1189">
        <v>4.666666666666667</v>
      </c>
      <c r="I1189">
        <v>0</v>
      </c>
    </row>
    <row r="1190" spans="1:9">
      <c r="A1190">
        <v>2017</v>
      </c>
      <c r="B1190" s="1">
        <v>43040</v>
      </c>
      <c r="C1190" s="2" t="s">
        <v>64</v>
      </c>
      <c r="D1190">
        <v>1</v>
      </c>
      <c r="E1190">
        <v>1</v>
      </c>
      <c r="F1190">
        <v>92.78</v>
      </c>
      <c r="G1190">
        <v>0.19163612847596465</v>
      </c>
      <c r="H1190">
        <v>5</v>
      </c>
      <c r="I1190">
        <v>0</v>
      </c>
    </row>
    <row r="1191" spans="1:9">
      <c r="A1191">
        <v>2017</v>
      </c>
      <c r="B1191" s="1">
        <v>43070</v>
      </c>
      <c r="C1191" s="2" t="s">
        <v>64</v>
      </c>
      <c r="D1191">
        <v>3</v>
      </c>
      <c r="E1191">
        <v>3</v>
      </c>
      <c r="F1191">
        <v>163.38999999999999</v>
      </c>
      <c r="G1191">
        <v>0.39356229166548562</v>
      </c>
      <c r="H1191">
        <v>5</v>
      </c>
      <c r="I1191">
        <v>0</v>
      </c>
    </row>
    <row r="1192" spans="1:9">
      <c r="A1192">
        <v>2018</v>
      </c>
      <c r="B1192" s="1">
        <v>43101</v>
      </c>
      <c r="C1192" s="2" t="s">
        <v>64</v>
      </c>
      <c r="D1192">
        <v>19</v>
      </c>
      <c r="E1192">
        <v>19</v>
      </c>
      <c r="F1192">
        <v>2864.21</v>
      </c>
      <c r="G1192">
        <v>0.12163082523585304</v>
      </c>
      <c r="H1192">
        <v>3.4736842105263159</v>
      </c>
      <c r="I1192">
        <v>5.2631578947368418E-2</v>
      </c>
    </row>
    <row r="1193" spans="1:9">
      <c r="A1193">
        <v>2018</v>
      </c>
      <c r="B1193" s="1">
        <v>43132</v>
      </c>
      <c r="C1193" s="2" t="s">
        <v>64</v>
      </c>
      <c r="D1193">
        <v>13</v>
      </c>
      <c r="E1193">
        <v>12</v>
      </c>
      <c r="F1193">
        <v>1560.83</v>
      </c>
      <c r="G1193">
        <v>0.20137199721751861</v>
      </c>
      <c r="H1193">
        <v>3.6923076923076925</v>
      </c>
      <c r="I1193">
        <v>0</v>
      </c>
    </row>
    <row r="1194" spans="1:9">
      <c r="A1194">
        <v>2018</v>
      </c>
      <c r="B1194" s="1">
        <v>43160</v>
      </c>
      <c r="C1194" s="2" t="s">
        <v>64</v>
      </c>
      <c r="D1194">
        <v>7</v>
      </c>
      <c r="E1194">
        <v>7</v>
      </c>
      <c r="F1194">
        <v>581.66</v>
      </c>
      <c r="G1194">
        <v>0.27216506819282255</v>
      </c>
      <c r="H1194">
        <v>3.5714285714285716</v>
      </c>
      <c r="I1194">
        <v>0.14285714285714285</v>
      </c>
    </row>
    <row r="1195" spans="1:9">
      <c r="A1195">
        <v>2018</v>
      </c>
      <c r="B1195" s="1">
        <v>43191</v>
      </c>
      <c r="C1195" s="2" t="s">
        <v>64</v>
      </c>
      <c r="D1195">
        <v>26</v>
      </c>
      <c r="E1195">
        <v>26</v>
      </c>
      <c r="F1195">
        <v>2623.04</v>
      </c>
      <c r="G1195">
        <v>0.19985284148636592</v>
      </c>
      <c r="H1195">
        <v>4.5</v>
      </c>
      <c r="I1195">
        <v>0</v>
      </c>
    </row>
    <row r="1196" spans="1:9">
      <c r="A1196">
        <v>2018</v>
      </c>
      <c r="B1196" s="1">
        <v>43221</v>
      </c>
      <c r="C1196" s="2" t="s">
        <v>64</v>
      </c>
      <c r="D1196">
        <v>36</v>
      </c>
      <c r="E1196">
        <v>35</v>
      </c>
      <c r="F1196">
        <v>3257.08</v>
      </c>
      <c r="G1196">
        <v>0.19264201557564992</v>
      </c>
      <c r="H1196">
        <v>3.8333333333333335</v>
      </c>
      <c r="I1196">
        <v>0.14285714285714285</v>
      </c>
    </row>
    <row r="1197" spans="1:9">
      <c r="A1197">
        <v>2018</v>
      </c>
      <c r="B1197" s="1">
        <v>43252</v>
      </c>
      <c r="C1197" s="2" t="s">
        <v>64</v>
      </c>
      <c r="D1197">
        <v>28</v>
      </c>
      <c r="E1197">
        <v>28</v>
      </c>
      <c r="F1197">
        <v>3019.18</v>
      </c>
      <c r="G1197">
        <v>0.17980095598707607</v>
      </c>
      <c r="H1197">
        <v>4.2857142857142856</v>
      </c>
      <c r="I1197">
        <v>0</v>
      </c>
    </row>
    <row r="1198" spans="1:9">
      <c r="A1198">
        <v>2018</v>
      </c>
      <c r="B1198" s="1">
        <v>43282</v>
      </c>
      <c r="C1198" s="2" t="s">
        <v>64</v>
      </c>
      <c r="D1198">
        <v>21</v>
      </c>
      <c r="E1198">
        <v>21</v>
      </c>
      <c r="F1198">
        <v>2265.73</v>
      </c>
      <c r="G1198">
        <v>0.1876356070852899</v>
      </c>
      <c r="H1198">
        <v>3.8095238095238093</v>
      </c>
      <c r="I1198">
        <v>4.7619047619047616E-2</v>
      </c>
    </row>
    <row r="1199" spans="1:9">
      <c r="A1199">
        <v>2018</v>
      </c>
      <c r="B1199" s="1">
        <v>43313</v>
      </c>
      <c r="C1199" s="2" t="s">
        <v>64</v>
      </c>
      <c r="D1199">
        <v>18</v>
      </c>
      <c r="E1199">
        <v>18</v>
      </c>
      <c r="F1199">
        <v>1775.9</v>
      </c>
      <c r="G1199">
        <v>0.17043123346714228</v>
      </c>
      <c r="H1199">
        <v>4.1111111111111107</v>
      </c>
      <c r="I1199">
        <v>0.22222222222222221</v>
      </c>
    </row>
    <row r="1200" spans="1:9">
      <c r="A1200">
        <v>2017</v>
      </c>
      <c r="B1200" s="1">
        <v>42736</v>
      </c>
      <c r="C1200" s="2" t="s">
        <v>12</v>
      </c>
      <c r="D1200">
        <v>4</v>
      </c>
      <c r="E1200">
        <v>3</v>
      </c>
      <c r="F1200">
        <v>738.36</v>
      </c>
      <c r="G1200">
        <v>0.1021789029695892</v>
      </c>
      <c r="H1200">
        <v>3.5</v>
      </c>
      <c r="I1200">
        <v>0</v>
      </c>
    </row>
    <row r="1201" spans="1:9">
      <c r="A1201">
        <v>2017</v>
      </c>
      <c r="B1201" s="1">
        <v>42767</v>
      </c>
      <c r="C1201" s="2" t="s">
        <v>12</v>
      </c>
      <c r="D1201">
        <v>12</v>
      </c>
      <c r="E1201">
        <v>12</v>
      </c>
      <c r="F1201">
        <v>3439.71</v>
      </c>
      <c r="G1201">
        <v>0.11651892408021901</v>
      </c>
      <c r="H1201">
        <v>2.7272727272727275</v>
      </c>
      <c r="I1201">
        <v>0</v>
      </c>
    </row>
    <row r="1202" spans="1:9">
      <c r="A1202">
        <v>2017</v>
      </c>
      <c r="B1202" s="1">
        <v>42795</v>
      </c>
      <c r="C1202" s="2" t="s">
        <v>12</v>
      </c>
      <c r="D1202">
        <v>17</v>
      </c>
      <c r="E1202">
        <v>16</v>
      </c>
      <c r="F1202">
        <v>4390.5600000000004</v>
      </c>
      <c r="G1202">
        <v>0.14875468320991933</v>
      </c>
      <c r="H1202">
        <v>4.4117647058823533</v>
      </c>
      <c r="I1202">
        <v>0</v>
      </c>
    </row>
    <row r="1203" spans="1:9">
      <c r="A1203">
        <v>2017</v>
      </c>
      <c r="B1203" s="1">
        <v>42826</v>
      </c>
      <c r="C1203" s="2" t="s">
        <v>12</v>
      </c>
      <c r="D1203">
        <v>16</v>
      </c>
      <c r="E1203">
        <v>14</v>
      </c>
      <c r="F1203">
        <v>2873.57</v>
      </c>
      <c r="G1203">
        <v>0.16285781590762022</v>
      </c>
      <c r="H1203">
        <v>4.5</v>
      </c>
      <c r="I1203">
        <v>0</v>
      </c>
    </row>
    <row r="1204" spans="1:9">
      <c r="A1204">
        <v>2017</v>
      </c>
      <c r="B1204" s="1">
        <v>42856</v>
      </c>
      <c r="C1204" s="2" t="s">
        <v>12</v>
      </c>
      <c r="D1204">
        <v>8</v>
      </c>
      <c r="E1204">
        <v>7</v>
      </c>
      <c r="F1204">
        <v>1186.69</v>
      </c>
      <c r="G1204">
        <v>0.18528289983185353</v>
      </c>
      <c r="H1204">
        <v>4.25</v>
      </c>
      <c r="I1204">
        <v>0</v>
      </c>
    </row>
    <row r="1205" spans="1:9">
      <c r="A1205">
        <v>2017</v>
      </c>
      <c r="B1205" s="1">
        <v>42887</v>
      </c>
      <c r="C1205" s="2" t="s">
        <v>12</v>
      </c>
      <c r="D1205">
        <v>11</v>
      </c>
      <c r="E1205">
        <v>9</v>
      </c>
      <c r="F1205">
        <v>2288.52</v>
      </c>
      <c r="G1205">
        <v>0.16442842060675089</v>
      </c>
      <c r="H1205">
        <v>4.0909090909090908</v>
      </c>
      <c r="I1205">
        <v>0</v>
      </c>
    </row>
    <row r="1206" spans="1:9">
      <c r="A1206">
        <v>2017</v>
      </c>
      <c r="B1206" s="1">
        <v>42917</v>
      </c>
      <c r="C1206" s="2" t="s">
        <v>12</v>
      </c>
      <c r="D1206">
        <v>5</v>
      </c>
      <c r="E1206">
        <v>5</v>
      </c>
      <c r="F1206">
        <v>1493.13</v>
      </c>
      <c r="G1206">
        <v>0.17627112998059088</v>
      </c>
      <c r="H1206">
        <v>3.4</v>
      </c>
      <c r="I1206">
        <v>0</v>
      </c>
    </row>
    <row r="1207" spans="1:9">
      <c r="A1207">
        <v>2017</v>
      </c>
      <c r="B1207" s="1">
        <v>42948</v>
      </c>
      <c r="C1207" s="2" t="s">
        <v>12</v>
      </c>
      <c r="D1207">
        <v>15</v>
      </c>
      <c r="E1207">
        <v>12</v>
      </c>
      <c r="F1207">
        <v>4563.49</v>
      </c>
      <c r="G1207">
        <v>9.8606903197054785E-2</v>
      </c>
      <c r="H1207">
        <v>4.6428571428571432</v>
      </c>
      <c r="I1207">
        <v>8.3333333333333329E-2</v>
      </c>
    </row>
    <row r="1208" spans="1:9">
      <c r="A1208">
        <v>2017</v>
      </c>
      <c r="B1208" s="1">
        <v>42979</v>
      </c>
      <c r="C1208" s="2" t="s">
        <v>12</v>
      </c>
      <c r="D1208">
        <v>8</v>
      </c>
      <c r="E1208">
        <v>8</v>
      </c>
      <c r="F1208">
        <v>1900.33</v>
      </c>
      <c r="G1208">
        <v>0.11657360870397934</v>
      </c>
      <c r="H1208">
        <v>4</v>
      </c>
      <c r="I1208">
        <v>0</v>
      </c>
    </row>
    <row r="1209" spans="1:9">
      <c r="A1209">
        <v>2017</v>
      </c>
      <c r="B1209" s="1">
        <v>43009</v>
      </c>
      <c r="C1209" s="2" t="s">
        <v>12</v>
      </c>
      <c r="D1209">
        <v>12</v>
      </c>
      <c r="E1209">
        <v>9</v>
      </c>
      <c r="F1209">
        <v>2869.9</v>
      </c>
      <c r="G1209">
        <v>0.1210796172419429</v>
      </c>
      <c r="H1209">
        <v>3.9166666666666665</v>
      </c>
      <c r="I1209">
        <v>0</v>
      </c>
    </row>
    <row r="1210" spans="1:9">
      <c r="A1210">
        <v>2017</v>
      </c>
      <c r="B1210" s="1">
        <v>43040</v>
      </c>
      <c r="C1210" s="2" t="s">
        <v>12</v>
      </c>
      <c r="D1210">
        <v>19</v>
      </c>
      <c r="E1210">
        <v>16</v>
      </c>
      <c r="F1210">
        <v>4513.5600000000004</v>
      </c>
      <c r="G1210">
        <v>0.12186053621322862</v>
      </c>
      <c r="H1210">
        <v>3.9444444444444442</v>
      </c>
      <c r="I1210">
        <v>0.1875</v>
      </c>
    </row>
    <row r="1211" spans="1:9">
      <c r="A1211">
        <v>2017</v>
      </c>
      <c r="B1211" s="1">
        <v>43070</v>
      </c>
      <c r="C1211" s="2" t="s">
        <v>12</v>
      </c>
      <c r="D1211">
        <v>3</v>
      </c>
      <c r="E1211">
        <v>3</v>
      </c>
      <c r="F1211">
        <v>722.34</v>
      </c>
      <c r="G1211">
        <v>7.87384920851215E-2</v>
      </c>
      <c r="H1211">
        <v>4.333333333333333</v>
      </c>
      <c r="I1211">
        <v>0</v>
      </c>
    </row>
    <row r="1212" spans="1:9">
      <c r="A1212">
        <v>2018</v>
      </c>
      <c r="B1212" s="1">
        <v>43101</v>
      </c>
      <c r="C1212" s="2" t="s">
        <v>12</v>
      </c>
      <c r="D1212">
        <v>29</v>
      </c>
      <c r="E1212">
        <v>22</v>
      </c>
      <c r="F1212">
        <v>5177.5200000000004</v>
      </c>
      <c r="G1212">
        <v>0.17615302077714826</v>
      </c>
      <c r="H1212">
        <v>3.9642857142857144</v>
      </c>
      <c r="I1212">
        <v>0.13636363636363635</v>
      </c>
    </row>
    <row r="1213" spans="1:9">
      <c r="A1213">
        <v>2018</v>
      </c>
      <c r="B1213" s="1">
        <v>43132</v>
      </c>
      <c r="C1213" s="2" t="s">
        <v>12</v>
      </c>
      <c r="D1213">
        <v>12</v>
      </c>
      <c r="E1213">
        <v>11</v>
      </c>
      <c r="F1213">
        <v>2892.67</v>
      </c>
      <c r="G1213">
        <v>0.14064105493865645</v>
      </c>
      <c r="H1213">
        <v>4.333333333333333</v>
      </c>
      <c r="I1213">
        <v>9.0909090909090912E-2</v>
      </c>
    </row>
    <row r="1214" spans="1:9">
      <c r="A1214">
        <v>2018</v>
      </c>
      <c r="B1214" s="1">
        <v>43160</v>
      </c>
      <c r="C1214" s="2" t="s">
        <v>12</v>
      </c>
      <c r="D1214">
        <v>25</v>
      </c>
      <c r="E1214">
        <v>24</v>
      </c>
      <c r="F1214">
        <v>3208.87</v>
      </c>
      <c r="G1214">
        <v>0.22172237464280053</v>
      </c>
      <c r="H1214">
        <v>3.6</v>
      </c>
      <c r="I1214">
        <v>0.125</v>
      </c>
    </row>
    <row r="1215" spans="1:9">
      <c r="A1215">
        <v>2018</v>
      </c>
      <c r="B1215" s="1">
        <v>43191</v>
      </c>
      <c r="C1215" s="2" t="s">
        <v>12</v>
      </c>
      <c r="D1215">
        <v>23</v>
      </c>
      <c r="E1215">
        <v>22</v>
      </c>
      <c r="F1215">
        <v>3921.12</v>
      </c>
      <c r="G1215">
        <v>0.20163821102835874</v>
      </c>
      <c r="H1215">
        <v>4.5714285714285712</v>
      </c>
      <c r="I1215">
        <v>0</v>
      </c>
    </row>
    <row r="1216" spans="1:9">
      <c r="A1216">
        <v>2018</v>
      </c>
      <c r="B1216" s="1">
        <v>43221</v>
      </c>
      <c r="C1216" s="2" t="s">
        <v>12</v>
      </c>
      <c r="D1216">
        <v>15</v>
      </c>
      <c r="E1216">
        <v>14</v>
      </c>
      <c r="F1216">
        <v>2450.73</v>
      </c>
      <c r="G1216">
        <v>0.1716974109626081</v>
      </c>
      <c r="H1216">
        <v>4.0666666666666664</v>
      </c>
      <c r="I1216">
        <v>0</v>
      </c>
    </row>
    <row r="1217" spans="1:9">
      <c r="A1217">
        <v>2018</v>
      </c>
      <c r="B1217" s="1">
        <v>43252</v>
      </c>
      <c r="C1217" s="2" t="s">
        <v>12</v>
      </c>
      <c r="D1217">
        <v>15</v>
      </c>
      <c r="E1217">
        <v>9</v>
      </c>
      <c r="F1217">
        <v>4092.94</v>
      </c>
      <c r="G1217">
        <v>0.21120114425541217</v>
      </c>
      <c r="H1217">
        <v>2.7333333333333334</v>
      </c>
      <c r="I1217">
        <v>0</v>
      </c>
    </row>
    <row r="1218" spans="1:9">
      <c r="A1218">
        <v>2018</v>
      </c>
      <c r="B1218" s="1">
        <v>43282</v>
      </c>
      <c r="C1218" s="2" t="s">
        <v>12</v>
      </c>
      <c r="D1218">
        <v>17</v>
      </c>
      <c r="E1218">
        <v>15</v>
      </c>
      <c r="F1218">
        <v>3137.45</v>
      </c>
      <c r="G1218">
        <v>0.16540446883965421</v>
      </c>
      <c r="H1218">
        <v>4.117647058823529</v>
      </c>
      <c r="I1218">
        <v>0</v>
      </c>
    </row>
    <row r="1219" spans="1:9">
      <c r="A1219">
        <v>2018</v>
      </c>
      <c r="B1219" s="1">
        <v>43313</v>
      </c>
      <c r="C1219" s="2" t="s">
        <v>12</v>
      </c>
      <c r="D1219">
        <v>21</v>
      </c>
      <c r="E1219">
        <v>17</v>
      </c>
      <c r="F1219">
        <v>4007.82</v>
      </c>
      <c r="G1219">
        <v>0.14242952278901611</v>
      </c>
      <c r="H1219">
        <v>3.8095238095238093</v>
      </c>
      <c r="I1219">
        <v>0</v>
      </c>
    </row>
    <row r="1220" spans="1:9">
      <c r="A1220">
        <v>2017</v>
      </c>
      <c r="B1220" s="1">
        <v>42736</v>
      </c>
      <c r="C1220" s="2" t="s">
        <v>40</v>
      </c>
      <c r="D1220">
        <v>3</v>
      </c>
      <c r="E1220">
        <v>2</v>
      </c>
      <c r="F1220">
        <v>107.76</v>
      </c>
      <c r="G1220">
        <v>0.36445238547302394</v>
      </c>
      <c r="H1220">
        <v>4.333333333333333</v>
      </c>
      <c r="I1220">
        <v>0</v>
      </c>
    </row>
    <row r="1221" spans="1:9">
      <c r="A1221">
        <v>2017</v>
      </c>
      <c r="B1221" s="1">
        <v>42767</v>
      </c>
      <c r="C1221" s="2" t="s">
        <v>40</v>
      </c>
      <c r="D1221">
        <v>7</v>
      </c>
      <c r="E1221">
        <v>7</v>
      </c>
      <c r="F1221">
        <v>331.1</v>
      </c>
      <c r="G1221">
        <v>0.35950223259091268</v>
      </c>
      <c r="H1221">
        <v>3.8571428571428572</v>
      </c>
      <c r="I1221">
        <v>0</v>
      </c>
    </row>
    <row r="1222" spans="1:9">
      <c r="A1222">
        <v>2017</v>
      </c>
      <c r="B1222" s="1">
        <v>42795</v>
      </c>
      <c r="C1222" s="2" t="s">
        <v>40</v>
      </c>
      <c r="D1222">
        <v>2</v>
      </c>
      <c r="E1222">
        <v>2</v>
      </c>
      <c r="F1222">
        <v>110.69</v>
      </c>
      <c r="G1222">
        <v>0.2943863901067395</v>
      </c>
      <c r="H1222">
        <v>2</v>
      </c>
      <c r="I1222">
        <v>0</v>
      </c>
    </row>
    <row r="1223" spans="1:9">
      <c r="A1223">
        <v>2017</v>
      </c>
      <c r="B1223" s="1">
        <v>42856</v>
      </c>
      <c r="C1223" s="2" t="s">
        <v>40</v>
      </c>
      <c r="D1223">
        <v>4</v>
      </c>
      <c r="E1223">
        <v>4</v>
      </c>
      <c r="F1223">
        <v>1763.74</v>
      </c>
      <c r="G1223">
        <v>0.14250193364846811</v>
      </c>
      <c r="H1223">
        <v>4.75</v>
      </c>
      <c r="I1223">
        <v>0</v>
      </c>
    </row>
    <row r="1224" spans="1:9">
      <c r="A1224">
        <v>2017</v>
      </c>
      <c r="B1224" s="1">
        <v>42887</v>
      </c>
      <c r="C1224" s="2" t="s">
        <v>40</v>
      </c>
      <c r="D1224">
        <v>1</v>
      </c>
      <c r="E1224">
        <v>1</v>
      </c>
      <c r="F1224">
        <v>1422.05</v>
      </c>
      <c r="G1224">
        <v>2.2537885447065857E-2</v>
      </c>
      <c r="H1224">
        <v>1</v>
      </c>
      <c r="I1224">
        <v>0</v>
      </c>
    </row>
    <row r="1225" spans="1:9">
      <c r="A1225">
        <v>2017</v>
      </c>
      <c r="B1225" s="1">
        <v>42917</v>
      </c>
      <c r="C1225" s="2" t="s">
        <v>40</v>
      </c>
      <c r="D1225">
        <v>1</v>
      </c>
      <c r="E1225">
        <v>1</v>
      </c>
      <c r="F1225">
        <v>1199.47</v>
      </c>
      <c r="G1225">
        <v>1.6232169208066895E-2</v>
      </c>
      <c r="H1225">
        <v>5</v>
      </c>
      <c r="I1225">
        <v>0</v>
      </c>
    </row>
    <row r="1226" spans="1:9">
      <c r="A1226">
        <v>2017</v>
      </c>
      <c r="B1226" s="1">
        <v>42948</v>
      </c>
      <c r="C1226" s="2" t="s">
        <v>40</v>
      </c>
      <c r="D1226">
        <v>4</v>
      </c>
      <c r="E1226">
        <v>1</v>
      </c>
      <c r="F1226">
        <v>224.6</v>
      </c>
      <c r="G1226">
        <v>0.60819234194122884</v>
      </c>
      <c r="H1226">
        <v>5</v>
      </c>
      <c r="I1226">
        <v>0</v>
      </c>
    </row>
    <row r="1227" spans="1:9">
      <c r="A1227">
        <v>2017</v>
      </c>
      <c r="B1227" s="1">
        <v>42979</v>
      </c>
      <c r="C1227" s="2" t="s">
        <v>40</v>
      </c>
      <c r="D1227">
        <v>4</v>
      </c>
      <c r="E1227">
        <v>3</v>
      </c>
      <c r="F1227">
        <v>2119.69</v>
      </c>
      <c r="G1227">
        <v>5.8169566762401113E-2</v>
      </c>
      <c r="H1227">
        <v>3.25</v>
      </c>
      <c r="I1227">
        <v>0</v>
      </c>
    </row>
    <row r="1228" spans="1:9">
      <c r="A1228">
        <v>2017</v>
      </c>
      <c r="B1228" s="1">
        <v>43009</v>
      </c>
      <c r="C1228" s="2" t="s">
        <v>40</v>
      </c>
      <c r="D1228">
        <v>5</v>
      </c>
      <c r="E1228">
        <v>5</v>
      </c>
      <c r="F1228">
        <v>3558.43</v>
      </c>
      <c r="G1228">
        <v>0.20451136329462558</v>
      </c>
      <c r="H1228">
        <v>4.2</v>
      </c>
      <c r="I1228">
        <v>0</v>
      </c>
    </row>
    <row r="1229" spans="1:9">
      <c r="A1229">
        <v>2017</v>
      </c>
      <c r="B1229" s="1">
        <v>43040</v>
      </c>
      <c r="C1229" s="2" t="s">
        <v>40</v>
      </c>
      <c r="D1229">
        <v>19</v>
      </c>
      <c r="E1229">
        <v>13</v>
      </c>
      <c r="F1229">
        <v>14610.32</v>
      </c>
      <c r="G1229">
        <v>5.6129378011759407E-2</v>
      </c>
      <c r="H1229">
        <v>2.7894736842105261</v>
      </c>
      <c r="I1229">
        <v>0.15384615384615385</v>
      </c>
    </row>
    <row r="1230" spans="1:9">
      <c r="A1230">
        <v>2017</v>
      </c>
      <c r="B1230" s="1">
        <v>43070</v>
      </c>
      <c r="C1230" s="2" t="s">
        <v>40</v>
      </c>
      <c r="D1230">
        <v>11</v>
      </c>
      <c r="E1230">
        <v>9</v>
      </c>
      <c r="F1230">
        <v>5664.04</v>
      </c>
      <c r="G1230">
        <v>7.7317538205142963E-2</v>
      </c>
      <c r="H1230">
        <v>4.6363636363636367</v>
      </c>
      <c r="I1230">
        <v>0</v>
      </c>
    </row>
    <row r="1231" spans="1:9">
      <c r="A1231">
        <v>2018</v>
      </c>
      <c r="B1231" s="1">
        <v>43101</v>
      </c>
      <c r="C1231" s="2" t="s">
        <v>40</v>
      </c>
      <c r="D1231">
        <v>18</v>
      </c>
      <c r="E1231">
        <v>15</v>
      </c>
      <c r="F1231">
        <v>6296.51</v>
      </c>
      <c r="G1231">
        <v>0.18349076431225186</v>
      </c>
      <c r="H1231">
        <v>4.5</v>
      </c>
      <c r="I1231">
        <v>0</v>
      </c>
    </row>
    <row r="1232" spans="1:9">
      <c r="A1232">
        <v>2018</v>
      </c>
      <c r="B1232" s="1">
        <v>43132</v>
      </c>
      <c r="C1232" s="2" t="s">
        <v>40</v>
      </c>
      <c r="D1232">
        <v>27</v>
      </c>
      <c r="E1232">
        <v>21</v>
      </c>
      <c r="F1232">
        <v>8059.63</v>
      </c>
      <c r="G1232">
        <v>0.19992488262981342</v>
      </c>
      <c r="H1232">
        <v>4.1851851851851851</v>
      </c>
      <c r="I1232">
        <v>0.14285714285714285</v>
      </c>
    </row>
    <row r="1233" spans="1:9">
      <c r="A1233">
        <v>2018</v>
      </c>
      <c r="B1233" s="1">
        <v>43160</v>
      </c>
      <c r="C1233" s="2" t="s">
        <v>40</v>
      </c>
      <c r="D1233">
        <v>28</v>
      </c>
      <c r="E1233">
        <v>25</v>
      </c>
      <c r="F1233">
        <v>6567.09</v>
      </c>
      <c r="G1233">
        <v>0.18878032640791828</v>
      </c>
      <c r="H1233">
        <v>4.0714285714285712</v>
      </c>
      <c r="I1233">
        <v>0</v>
      </c>
    </row>
    <row r="1234" spans="1:9">
      <c r="A1234">
        <v>2018</v>
      </c>
      <c r="B1234" s="1">
        <v>43191</v>
      </c>
      <c r="C1234" s="2" t="s">
        <v>40</v>
      </c>
      <c r="D1234">
        <v>12</v>
      </c>
      <c r="E1234">
        <v>12</v>
      </c>
      <c r="F1234">
        <v>4783.66</v>
      </c>
      <c r="G1234">
        <v>0.10097931934980658</v>
      </c>
      <c r="H1234">
        <v>4</v>
      </c>
      <c r="I1234">
        <v>8.3333333333333329E-2</v>
      </c>
    </row>
    <row r="1235" spans="1:9">
      <c r="A1235">
        <v>2018</v>
      </c>
      <c r="B1235" s="1">
        <v>43221</v>
      </c>
      <c r="C1235" s="2" t="s">
        <v>40</v>
      </c>
      <c r="D1235">
        <v>8</v>
      </c>
      <c r="E1235">
        <v>8</v>
      </c>
      <c r="F1235">
        <v>3433.22</v>
      </c>
      <c r="G1235">
        <v>6.9622218413199863E-2</v>
      </c>
      <c r="H1235">
        <v>4.5</v>
      </c>
      <c r="I1235">
        <v>0.125</v>
      </c>
    </row>
    <row r="1236" spans="1:9">
      <c r="A1236">
        <v>2018</v>
      </c>
      <c r="B1236" s="1">
        <v>43252</v>
      </c>
      <c r="C1236" s="2" t="s">
        <v>40</v>
      </c>
      <c r="D1236">
        <v>10</v>
      </c>
      <c r="E1236">
        <v>10</v>
      </c>
      <c r="F1236">
        <v>3843.05</v>
      </c>
      <c r="G1236">
        <v>0.15763941730534087</v>
      </c>
      <c r="H1236">
        <v>4.2</v>
      </c>
      <c r="I1236">
        <v>0</v>
      </c>
    </row>
    <row r="1237" spans="1:9">
      <c r="A1237">
        <v>2018</v>
      </c>
      <c r="B1237" s="1">
        <v>43282</v>
      </c>
      <c r="C1237" s="2" t="s">
        <v>40</v>
      </c>
      <c r="D1237">
        <v>30</v>
      </c>
      <c r="E1237">
        <v>29</v>
      </c>
      <c r="F1237">
        <v>8735.2800000000007</v>
      </c>
      <c r="G1237">
        <v>0.18254669069176468</v>
      </c>
      <c r="H1237">
        <v>3.9666666666666668</v>
      </c>
      <c r="I1237">
        <v>0</v>
      </c>
    </row>
    <row r="1238" spans="1:9">
      <c r="A1238">
        <v>2018</v>
      </c>
      <c r="B1238" s="1">
        <v>43313</v>
      </c>
      <c r="C1238" s="2" t="s">
        <v>40</v>
      </c>
      <c r="D1238">
        <v>18</v>
      </c>
      <c r="E1238">
        <v>14</v>
      </c>
      <c r="F1238">
        <v>5543.74</v>
      </c>
      <c r="G1238">
        <v>0.21323348068358605</v>
      </c>
      <c r="H1238">
        <v>3.7777777777777777</v>
      </c>
      <c r="I1238">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F92F-EFCC-4342-B782-884CED09911A}">
  <dimension ref="B3:N103"/>
  <sheetViews>
    <sheetView zoomScale="88" zoomScaleNormal="92" workbookViewId="0">
      <selection activeCell="D6" sqref="D6"/>
    </sheetView>
  </sheetViews>
  <sheetFormatPr baseColWidth="10" defaultRowHeight="16"/>
  <cols>
    <col min="2" max="2" width="21.1640625" bestFit="1" customWidth="1"/>
    <col min="3" max="3" width="15.1640625" bestFit="1" customWidth="1"/>
    <col min="4" max="4" width="21.33203125" bestFit="1" customWidth="1"/>
    <col min="5" max="5" width="21.1640625" bestFit="1" customWidth="1"/>
    <col min="6" max="6" width="21.33203125" bestFit="1" customWidth="1"/>
    <col min="7" max="8" width="14.83203125" bestFit="1" customWidth="1"/>
    <col min="9" max="9" width="20.6640625" bestFit="1" customWidth="1"/>
    <col min="10" max="10" width="13.83203125" bestFit="1" customWidth="1"/>
    <col min="11" max="11" width="14.83203125" bestFit="1" customWidth="1"/>
    <col min="12" max="12" width="21.1640625" bestFit="1" customWidth="1"/>
    <col min="13" max="13" width="13.83203125" bestFit="1" customWidth="1"/>
    <col min="14" max="14" width="14.83203125" bestFit="1" customWidth="1"/>
    <col min="15" max="15" width="20.6640625" bestFit="1" customWidth="1"/>
    <col min="16" max="16" width="13.83203125" bestFit="1" customWidth="1"/>
    <col min="17" max="17" width="14.83203125" bestFit="1" customWidth="1"/>
    <col min="18" max="18" width="20.6640625" bestFit="1" customWidth="1"/>
    <col min="19" max="19" width="13.83203125" bestFit="1" customWidth="1"/>
    <col min="20" max="20" width="14.83203125" bestFit="1" customWidth="1"/>
    <col min="21" max="21" width="20.6640625" bestFit="1" customWidth="1"/>
    <col min="22" max="22" width="13.83203125" bestFit="1" customWidth="1"/>
    <col min="23" max="23" width="14.83203125" bestFit="1" customWidth="1"/>
    <col min="24" max="24" width="20.6640625" bestFit="1" customWidth="1"/>
    <col min="25" max="25" width="14.33203125" bestFit="1" customWidth="1"/>
    <col min="26" max="26" width="14.83203125" bestFit="1" customWidth="1"/>
    <col min="27" max="27" width="22.1640625" bestFit="1" customWidth="1"/>
    <col min="28" max="28" width="13.83203125" bestFit="1" customWidth="1"/>
    <col min="29" max="29" width="14.83203125" bestFit="1" customWidth="1"/>
    <col min="30" max="30" width="20.6640625" bestFit="1" customWidth="1"/>
    <col min="31" max="31" width="13.83203125" bestFit="1" customWidth="1"/>
    <col min="32" max="32" width="14.83203125" bestFit="1" customWidth="1"/>
    <col min="33" max="33" width="20.6640625" bestFit="1" customWidth="1"/>
    <col min="34" max="34" width="13.83203125" bestFit="1" customWidth="1"/>
    <col min="35" max="35" width="14.83203125" bestFit="1" customWidth="1"/>
    <col min="36" max="36" width="20.6640625" bestFit="1" customWidth="1"/>
    <col min="37" max="37" width="13.83203125" bestFit="1" customWidth="1"/>
    <col min="38" max="38" width="14.83203125" bestFit="1" customWidth="1"/>
    <col min="39" max="39" width="20.6640625" bestFit="1" customWidth="1"/>
    <col min="40" max="40" width="13.83203125" bestFit="1" customWidth="1"/>
    <col min="41" max="41" width="14.83203125" bestFit="1" customWidth="1"/>
    <col min="42" max="42" width="20.6640625" bestFit="1" customWidth="1"/>
    <col min="43" max="43" width="13.83203125" bestFit="1" customWidth="1"/>
    <col min="44" max="44" width="14.83203125" bestFit="1" customWidth="1"/>
    <col min="45" max="45" width="20.6640625" bestFit="1" customWidth="1"/>
    <col min="46" max="46" width="13.83203125" bestFit="1" customWidth="1"/>
    <col min="47" max="47" width="14.83203125" bestFit="1" customWidth="1"/>
    <col min="48" max="48" width="22.33203125" bestFit="1" customWidth="1"/>
    <col min="49" max="49" width="14.33203125" bestFit="1" customWidth="1"/>
    <col min="50" max="50" width="14.83203125" bestFit="1" customWidth="1"/>
    <col min="51" max="51" width="20.6640625" bestFit="1" customWidth="1"/>
    <col min="52" max="52" width="13.83203125" bestFit="1" customWidth="1"/>
    <col min="53" max="53" width="14.83203125" bestFit="1" customWidth="1"/>
    <col min="54" max="54" width="30.6640625" bestFit="1" customWidth="1"/>
    <col min="55" max="55" width="13.83203125" bestFit="1" customWidth="1"/>
    <col min="56" max="56" width="14.83203125" bestFit="1" customWidth="1"/>
    <col min="57" max="57" width="23.83203125" bestFit="1" customWidth="1"/>
    <col min="58" max="58" width="13.83203125" bestFit="1" customWidth="1"/>
    <col min="59" max="59" width="14.83203125" bestFit="1" customWidth="1"/>
    <col min="60" max="60" width="24.33203125" bestFit="1" customWidth="1"/>
    <col min="61" max="61" width="13.83203125" bestFit="1" customWidth="1"/>
    <col min="62" max="62" width="14.83203125" bestFit="1" customWidth="1"/>
    <col min="63" max="63" width="20.6640625" bestFit="1" customWidth="1"/>
    <col min="64" max="64" width="13.83203125" bestFit="1" customWidth="1"/>
    <col min="65" max="65" width="14.83203125" bestFit="1" customWidth="1"/>
    <col min="66" max="66" width="23.83203125" bestFit="1" customWidth="1"/>
    <col min="67" max="67" width="13.83203125" bestFit="1" customWidth="1"/>
    <col min="68" max="68" width="14.83203125" bestFit="1" customWidth="1"/>
    <col min="69" max="69" width="22.33203125" bestFit="1" customWidth="1"/>
    <col min="70" max="70" width="13.83203125" bestFit="1" customWidth="1"/>
    <col min="71" max="71" width="14.83203125" bestFit="1" customWidth="1"/>
    <col min="72" max="72" width="20.6640625" bestFit="1" customWidth="1"/>
    <col min="73" max="73" width="13.83203125" bestFit="1" customWidth="1"/>
    <col min="74" max="74" width="14.83203125" bestFit="1" customWidth="1"/>
    <col min="75" max="75" width="20.6640625" bestFit="1" customWidth="1"/>
    <col min="76" max="76" width="13.83203125" bestFit="1" customWidth="1"/>
    <col min="77" max="77" width="14.83203125" bestFit="1" customWidth="1"/>
    <col min="78" max="78" width="20.6640625" bestFit="1" customWidth="1"/>
    <col min="79" max="79" width="13.83203125" bestFit="1" customWidth="1"/>
    <col min="80" max="80" width="14.83203125" bestFit="1" customWidth="1"/>
    <col min="81" max="81" width="20.6640625" bestFit="1" customWidth="1"/>
    <col min="82" max="82" width="13.83203125" bestFit="1" customWidth="1"/>
    <col min="83" max="83" width="14.83203125" bestFit="1" customWidth="1"/>
    <col min="84" max="84" width="21.5" bestFit="1" customWidth="1"/>
    <col min="85" max="85" width="13.83203125" bestFit="1" customWidth="1"/>
    <col min="86" max="86" width="14.83203125" bestFit="1" customWidth="1"/>
    <col min="87" max="87" width="23.83203125" bestFit="1" customWidth="1"/>
    <col min="88" max="88" width="13.83203125" bestFit="1" customWidth="1"/>
    <col min="89" max="89" width="14.83203125" bestFit="1" customWidth="1"/>
    <col min="90" max="90" width="24.6640625" bestFit="1" customWidth="1"/>
    <col min="91" max="91" width="13.83203125" bestFit="1" customWidth="1"/>
    <col min="92" max="92" width="14.83203125" bestFit="1" customWidth="1"/>
    <col min="93" max="93" width="21" bestFit="1" customWidth="1"/>
    <col min="94" max="94" width="13.83203125" bestFit="1" customWidth="1"/>
    <col min="95" max="95" width="14.83203125" bestFit="1" customWidth="1"/>
    <col min="96" max="96" width="20.6640625" bestFit="1" customWidth="1"/>
    <col min="97" max="97" width="13.83203125" bestFit="1" customWidth="1"/>
    <col min="98" max="98" width="14.83203125" bestFit="1" customWidth="1"/>
    <col min="99" max="99" width="20.6640625" bestFit="1" customWidth="1"/>
    <col min="100" max="100" width="13.83203125" bestFit="1" customWidth="1"/>
    <col min="101" max="101" width="14.83203125" bestFit="1" customWidth="1"/>
    <col min="102" max="102" width="24.33203125" bestFit="1" customWidth="1"/>
    <col min="103" max="103" width="13.83203125" bestFit="1" customWidth="1"/>
    <col min="104" max="104" width="14.83203125" bestFit="1" customWidth="1"/>
    <col min="105" max="105" width="20.6640625" bestFit="1" customWidth="1"/>
    <col min="106" max="106" width="13.83203125" bestFit="1" customWidth="1"/>
    <col min="107" max="107" width="14.83203125" bestFit="1" customWidth="1"/>
    <col min="108" max="108" width="20.6640625" bestFit="1" customWidth="1"/>
    <col min="109" max="109" width="13.83203125" bestFit="1" customWidth="1"/>
    <col min="110" max="110" width="14.83203125" bestFit="1" customWidth="1"/>
    <col min="111" max="111" width="20.6640625" bestFit="1" customWidth="1"/>
    <col min="112" max="112" width="13.83203125" bestFit="1" customWidth="1"/>
    <col min="113" max="113" width="14.83203125" bestFit="1" customWidth="1"/>
    <col min="114" max="114" width="20.6640625" bestFit="1" customWidth="1"/>
    <col min="115" max="115" width="13.83203125" bestFit="1" customWidth="1"/>
    <col min="116" max="116" width="14.83203125" bestFit="1" customWidth="1"/>
    <col min="117" max="117" width="20.6640625" bestFit="1" customWidth="1"/>
    <col min="118" max="118" width="13.83203125" bestFit="1" customWidth="1"/>
    <col min="119" max="119" width="14.83203125" bestFit="1" customWidth="1"/>
    <col min="120" max="120" width="20.6640625" bestFit="1" customWidth="1"/>
    <col min="121" max="121" width="13.83203125" bestFit="1" customWidth="1"/>
    <col min="122" max="122" width="14.83203125" bestFit="1" customWidth="1"/>
    <col min="123" max="123" width="20.6640625" bestFit="1" customWidth="1"/>
    <col min="124" max="124" width="13.83203125" bestFit="1" customWidth="1"/>
    <col min="125" max="125" width="14.83203125" bestFit="1" customWidth="1"/>
    <col min="126" max="126" width="33" bestFit="1" customWidth="1"/>
    <col min="127" max="127" width="13.83203125" bestFit="1" customWidth="1"/>
    <col min="128" max="128" width="14.83203125" bestFit="1" customWidth="1"/>
    <col min="129" max="129" width="20.6640625" bestFit="1" customWidth="1"/>
    <col min="130" max="130" width="13.83203125" bestFit="1" customWidth="1"/>
    <col min="131" max="131" width="14.83203125" bestFit="1" customWidth="1"/>
    <col min="132" max="132" width="20.6640625" bestFit="1" customWidth="1"/>
    <col min="133" max="133" width="14.33203125" bestFit="1" customWidth="1"/>
    <col min="134" max="134" width="14.83203125" bestFit="1" customWidth="1"/>
    <col min="135" max="135" width="20.6640625" bestFit="1" customWidth="1"/>
    <col min="136" max="136" width="13.83203125" bestFit="1" customWidth="1"/>
    <col min="137" max="137" width="14.83203125" bestFit="1" customWidth="1"/>
    <col min="138" max="138" width="20.6640625" bestFit="1" customWidth="1"/>
    <col min="139" max="139" width="13.83203125" bestFit="1" customWidth="1"/>
    <col min="140" max="140" width="14.83203125" bestFit="1" customWidth="1"/>
    <col min="141" max="141" width="20.6640625" bestFit="1" customWidth="1"/>
    <col min="142" max="142" width="13.83203125" bestFit="1" customWidth="1"/>
    <col min="143" max="143" width="14.83203125" bestFit="1" customWidth="1"/>
    <col min="144" max="144" width="20.6640625" bestFit="1" customWidth="1"/>
    <col min="145" max="145" width="13.83203125" bestFit="1" customWidth="1"/>
    <col min="146" max="146" width="14.83203125" bestFit="1" customWidth="1"/>
    <col min="147" max="147" width="20.6640625" bestFit="1" customWidth="1"/>
    <col min="148" max="148" width="13.83203125" bestFit="1" customWidth="1"/>
    <col min="149" max="149" width="14.83203125" bestFit="1" customWidth="1"/>
    <col min="150" max="150" width="20.6640625" bestFit="1" customWidth="1"/>
    <col min="151" max="151" width="13.83203125" bestFit="1" customWidth="1"/>
    <col min="152" max="152" width="14.83203125" bestFit="1" customWidth="1"/>
    <col min="153" max="153" width="32.1640625" bestFit="1" customWidth="1"/>
    <col min="154" max="154" width="13.83203125" bestFit="1" customWidth="1"/>
    <col min="155" max="155" width="14.83203125" bestFit="1" customWidth="1"/>
    <col min="156" max="156" width="37.83203125" bestFit="1" customWidth="1"/>
    <col min="157" max="157" width="13.83203125" bestFit="1" customWidth="1"/>
    <col min="158" max="158" width="14.83203125" bestFit="1" customWidth="1"/>
    <col min="159" max="159" width="20.6640625" bestFit="1" customWidth="1"/>
    <col min="160" max="160" width="13.83203125" bestFit="1" customWidth="1"/>
    <col min="161" max="161" width="14.83203125" bestFit="1" customWidth="1"/>
    <col min="162" max="162" width="20.6640625" bestFit="1" customWidth="1"/>
    <col min="163" max="163" width="13.83203125" bestFit="1" customWidth="1"/>
    <col min="164" max="164" width="14.83203125" bestFit="1" customWidth="1"/>
    <col min="165" max="165" width="20.6640625" bestFit="1" customWidth="1"/>
    <col min="166" max="166" width="13.83203125" bestFit="1" customWidth="1"/>
    <col min="167" max="167" width="14.83203125" bestFit="1" customWidth="1"/>
    <col min="168" max="168" width="20.6640625" bestFit="1" customWidth="1"/>
    <col min="169" max="169" width="13.83203125" bestFit="1" customWidth="1"/>
    <col min="170" max="170" width="14.83203125" bestFit="1" customWidth="1"/>
    <col min="171" max="171" width="20.6640625" bestFit="1" customWidth="1"/>
    <col min="172" max="172" width="13.83203125" bestFit="1" customWidth="1"/>
    <col min="173" max="173" width="14.83203125" bestFit="1" customWidth="1"/>
    <col min="174" max="174" width="20.6640625" bestFit="1" customWidth="1"/>
    <col min="175" max="175" width="13.83203125" bestFit="1" customWidth="1"/>
    <col min="176" max="176" width="14.83203125" bestFit="1" customWidth="1"/>
    <col min="177" max="177" width="20.6640625" bestFit="1" customWidth="1"/>
    <col min="178" max="178" width="13.83203125" bestFit="1" customWidth="1"/>
    <col min="179" max="179" width="14.83203125" bestFit="1" customWidth="1"/>
    <col min="180" max="180" width="20.6640625" bestFit="1" customWidth="1"/>
    <col min="181" max="181" width="13.83203125" bestFit="1" customWidth="1"/>
    <col min="182" max="182" width="14.83203125" bestFit="1" customWidth="1"/>
    <col min="183" max="183" width="20.6640625" bestFit="1" customWidth="1"/>
    <col min="184" max="184" width="13.83203125" bestFit="1" customWidth="1"/>
    <col min="185" max="185" width="14.83203125" bestFit="1" customWidth="1"/>
    <col min="186" max="186" width="20.83203125" bestFit="1" customWidth="1"/>
    <col min="187" max="187" width="13.83203125" bestFit="1" customWidth="1"/>
    <col min="188" max="188" width="14.83203125" bestFit="1" customWidth="1"/>
    <col min="189" max="189" width="21.1640625" bestFit="1" customWidth="1"/>
    <col min="190" max="190" width="13.83203125" bestFit="1" customWidth="1"/>
    <col min="191" max="191" width="14.83203125" bestFit="1" customWidth="1"/>
    <col min="192" max="192" width="20.6640625" bestFit="1" customWidth="1"/>
    <col min="193" max="193" width="13.83203125" bestFit="1" customWidth="1"/>
    <col min="194" max="194" width="14.83203125" bestFit="1" customWidth="1"/>
    <col min="195" max="195" width="38.1640625" bestFit="1" customWidth="1"/>
    <col min="196" max="196" width="13.83203125" bestFit="1" customWidth="1"/>
    <col min="197" max="197" width="14.83203125" bestFit="1" customWidth="1"/>
    <col min="198" max="198" width="20.6640625" bestFit="1" customWidth="1"/>
    <col min="199" max="199" width="14.33203125" bestFit="1" customWidth="1"/>
    <col min="200" max="200" width="14.83203125" bestFit="1" customWidth="1"/>
    <col min="201" max="201" width="20.6640625" bestFit="1" customWidth="1"/>
    <col min="202" max="202" width="13.83203125" bestFit="1" customWidth="1"/>
    <col min="203" max="203" width="14.83203125" bestFit="1" customWidth="1"/>
    <col min="204" max="204" width="21.5" bestFit="1" customWidth="1"/>
    <col min="205" max="205" width="13.83203125" bestFit="1" customWidth="1"/>
    <col min="206" max="206" width="14.83203125" bestFit="1" customWidth="1"/>
    <col min="207" max="207" width="20.6640625" bestFit="1" customWidth="1"/>
    <col min="208" max="208" width="13.83203125" bestFit="1" customWidth="1"/>
    <col min="209" max="209" width="14.83203125" bestFit="1" customWidth="1"/>
    <col min="210" max="210" width="20.6640625" bestFit="1" customWidth="1"/>
    <col min="211" max="211" width="13.83203125" bestFit="1" customWidth="1"/>
    <col min="212" max="212" width="14.83203125" bestFit="1" customWidth="1"/>
    <col min="213" max="213" width="20.6640625" bestFit="1" customWidth="1"/>
    <col min="214" max="214" width="14.33203125" bestFit="1" customWidth="1"/>
    <col min="215" max="215" width="14.83203125" bestFit="1" customWidth="1"/>
    <col min="216" max="216" width="20.6640625" bestFit="1" customWidth="1"/>
    <col min="217" max="217" width="13.83203125" bestFit="1" customWidth="1"/>
    <col min="218" max="218" width="14.83203125" bestFit="1" customWidth="1"/>
    <col min="219" max="219" width="25.5" bestFit="1" customWidth="1"/>
    <col min="220" max="220" width="18.6640625" bestFit="1" customWidth="1"/>
    <col min="221" max="221" width="19.6640625" bestFit="1" customWidth="1"/>
  </cols>
  <sheetData>
    <row r="3" spans="2:12">
      <c r="B3" s="3" t="s">
        <v>80</v>
      </c>
      <c r="C3" t="s">
        <v>86</v>
      </c>
      <c r="D3" t="s">
        <v>87</v>
      </c>
      <c r="E3" t="s">
        <v>88</v>
      </c>
    </row>
    <row r="4" spans="2:12">
      <c r="B4" s="4" t="s">
        <v>82</v>
      </c>
      <c r="C4" s="5">
        <v>4.0603484755538464</v>
      </c>
      <c r="D4" s="6">
        <v>7165171.9800000023</v>
      </c>
      <c r="E4" s="7">
        <v>44923</v>
      </c>
    </row>
    <row r="5" spans="2:12">
      <c r="B5" s="4" t="s">
        <v>83</v>
      </c>
      <c r="C5" s="5">
        <v>4.0482324355892114</v>
      </c>
      <c r="D5" s="6">
        <v>8657038.1400000006</v>
      </c>
      <c r="E5" s="7">
        <v>54231</v>
      </c>
    </row>
    <row r="6" spans="2:12">
      <c r="B6" s="4" t="s">
        <v>81</v>
      </c>
      <c r="C6" s="5">
        <v>4.0552035768978802</v>
      </c>
      <c r="D6" s="6">
        <v>15822210.119999994</v>
      </c>
      <c r="E6" s="7">
        <v>99154</v>
      </c>
    </row>
    <row r="13" spans="2:12">
      <c r="B13" s="3" t="s">
        <v>80</v>
      </c>
      <c r="C13" t="s">
        <v>85</v>
      </c>
      <c r="E13" s="3" t="s">
        <v>80</v>
      </c>
      <c r="F13" t="s">
        <v>84</v>
      </c>
      <c r="H13" s="3" t="s">
        <v>80</v>
      </c>
      <c r="I13" t="s">
        <v>86</v>
      </c>
      <c r="K13" s="3" t="s">
        <v>80</v>
      </c>
      <c r="L13" t="s">
        <v>103</v>
      </c>
    </row>
    <row r="14" spans="2:12">
      <c r="B14" s="4" t="s">
        <v>10</v>
      </c>
      <c r="C14" s="8">
        <v>1438591.58</v>
      </c>
      <c r="E14" s="4" t="s">
        <v>16</v>
      </c>
      <c r="F14" s="7">
        <v>9412</v>
      </c>
      <c r="H14" s="4" t="s">
        <v>40</v>
      </c>
      <c r="I14" s="9">
        <v>3.8956511427425546</v>
      </c>
      <c r="K14" s="4" t="s">
        <v>40</v>
      </c>
      <c r="L14" s="10">
        <v>2.658087526508579E-2</v>
      </c>
    </row>
    <row r="15" spans="2:12">
      <c r="B15" s="4" t="s">
        <v>39</v>
      </c>
      <c r="C15" s="8">
        <v>1302399.0600000003</v>
      </c>
      <c r="E15" s="4" t="s">
        <v>10</v>
      </c>
      <c r="F15" s="7">
        <v>8791</v>
      </c>
      <c r="H15" s="4" t="s">
        <v>12</v>
      </c>
      <c r="I15" s="9">
        <v>3.9456733299380353</v>
      </c>
      <c r="K15" s="4" t="s">
        <v>12</v>
      </c>
      <c r="L15" s="10">
        <v>3.1155303030303026E-2</v>
      </c>
    </row>
    <row r="16" spans="2:12">
      <c r="B16" s="4" t="s">
        <v>16</v>
      </c>
      <c r="C16" s="8">
        <v>1249862.77</v>
      </c>
      <c r="E16" s="4" t="s">
        <v>37</v>
      </c>
      <c r="F16" s="7">
        <v>7701</v>
      </c>
      <c r="H16" s="4" t="s">
        <v>64</v>
      </c>
      <c r="I16" s="9">
        <v>4.0345745060657343</v>
      </c>
      <c r="K16" s="4" t="s">
        <v>64</v>
      </c>
      <c r="L16" s="10">
        <v>3.378817413905133E-2</v>
      </c>
    </row>
    <row r="17" spans="2:12">
      <c r="B17" s="4" t="s">
        <v>37</v>
      </c>
      <c r="C17" s="8">
        <v>1156426.47</v>
      </c>
      <c r="E17" s="4" t="s">
        <v>19</v>
      </c>
      <c r="F17" s="7">
        <v>6671</v>
      </c>
      <c r="H17" s="4" t="s">
        <v>73</v>
      </c>
      <c r="I17" s="9">
        <v>4.365319865319865</v>
      </c>
      <c r="K17" s="4" t="s">
        <v>73</v>
      </c>
      <c r="L17" s="10">
        <v>1.6666666666666666E-2</v>
      </c>
    </row>
    <row r="18" spans="2:12">
      <c r="B18" s="4" t="s">
        <v>19</v>
      </c>
      <c r="C18" s="8">
        <v>1062106.8199999998</v>
      </c>
      <c r="E18" s="4" t="s">
        <v>9</v>
      </c>
      <c r="F18" s="7">
        <v>6397</v>
      </c>
      <c r="H18" s="4" t="s">
        <v>13</v>
      </c>
      <c r="I18" s="9">
        <v>3.8581111931556351</v>
      </c>
      <c r="K18" s="4" t="s">
        <v>13</v>
      </c>
      <c r="L18" s="10">
        <v>0.11217973418050817</v>
      </c>
    </row>
    <row r="19" spans="2:12">
      <c r="B19" s="4" t="s">
        <v>9</v>
      </c>
      <c r="C19" s="8">
        <v>898183.31</v>
      </c>
      <c r="E19" s="4" t="s">
        <v>31</v>
      </c>
      <c r="F19" s="7">
        <v>5875</v>
      </c>
      <c r="H19" s="4" t="s">
        <v>14</v>
      </c>
      <c r="I19" s="9">
        <v>4.0389849060392491</v>
      </c>
      <c r="K19" s="4" t="s">
        <v>14</v>
      </c>
      <c r="L19" s="10">
        <v>6.8031120340571599E-2</v>
      </c>
    </row>
    <row r="20" spans="2:12">
      <c r="B20" s="4" t="s">
        <v>31</v>
      </c>
      <c r="C20" s="8">
        <v>779085.76</v>
      </c>
      <c r="E20" s="4" t="s">
        <v>39</v>
      </c>
      <c r="F20" s="7">
        <v>5619</v>
      </c>
      <c r="H20" s="4" t="s">
        <v>15</v>
      </c>
      <c r="I20" s="9">
        <v>4.0446185460964461</v>
      </c>
      <c r="K20" s="4" t="s">
        <v>15</v>
      </c>
      <c r="L20" s="10">
        <v>7.2984240675765893E-2</v>
      </c>
    </row>
    <row r="21" spans="2:12">
      <c r="B21" s="4" t="s">
        <v>21</v>
      </c>
      <c r="C21" s="8">
        <v>718943.1399999999</v>
      </c>
      <c r="E21" s="4" t="s">
        <v>11</v>
      </c>
      <c r="F21" s="7">
        <v>4189</v>
      </c>
      <c r="H21" s="4" t="s">
        <v>16</v>
      </c>
      <c r="I21" s="9">
        <v>3.9484239097048346</v>
      </c>
      <c r="K21" s="4" t="s">
        <v>16</v>
      </c>
      <c r="L21" s="10">
        <v>6.9497410318871494E-2</v>
      </c>
    </row>
    <row r="22" spans="2:12">
      <c r="B22" s="4" t="s">
        <v>14</v>
      </c>
      <c r="C22" s="8">
        <v>683403.85000000009</v>
      </c>
      <c r="E22" s="4" t="s">
        <v>14</v>
      </c>
      <c r="F22" s="7">
        <v>3886</v>
      </c>
      <c r="H22" s="4" t="s">
        <v>17</v>
      </c>
      <c r="I22" s="9">
        <v>4.4879517650315304</v>
      </c>
      <c r="K22" s="4" t="s">
        <v>17</v>
      </c>
      <c r="L22" s="10">
        <v>6.4058826653020068E-2</v>
      </c>
    </row>
    <row r="23" spans="2:12">
      <c r="B23" s="4" t="s">
        <v>30</v>
      </c>
      <c r="C23" s="8">
        <v>583670.95000000007</v>
      </c>
      <c r="E23" s="4" t="s">
        <v>38</v>
      </c>
      <c r="F23" s="7">
        <v>3861</v>
      </c>
      <c r="H23" s="4" t="s">
        <v>56</v>
      </c>
      <c r="I23" s="9">
        <v>4.1100000000000003</v>
      </c>
      <c r="K23" s="4" t="s">
        <v>56</v>
      </c>
      <c r="L23" s="10">
        <v>7.7777777777777779E-2</v>
      </c>
    </row>
    <row r="24" spans="2:12">
      <c r="B24" s="4" t="s">
        <v>81</v>
      </c>
      <c r="C24" s="8">
        <v>9872673.7100000009</v>
      </c>
      <c r="E24" s="4" t="s">
        <v>81</v>
      </c>
      <c r="F24" s="7">
        <v>62402</v>
      </c>
      <c r="H24" s="4" t="s">
        <v>18</v>
      </c>
      <c r="I24" s="9">
        <v>4.4259329021540008</v>
      </c>
      <c r="K24" s="4" t="s">
        <v>18</v>
      </c>
      <c r="L24" s="10">
        <v>0.1079664838683549</v>
      </c>
    </row>
    <row r="25" spans="2:12">
      <c r="H25" s="4" t="s">
        <v>76</v>
      </c>
      <c r="I25" s="9">
        <v>4.833333333333333</v>
      </c>
      <c r="K25" s="4" t="s">
        <v>76</v>
      </c>
      <c r="L25" s="10">
        <v>0</v>
      </c>
    </row>
    <row r="26" spans="2:12">
      <c r="H26" s="4" t="s">
        <v>69</v>
      </c>
      <c r="I26" s="9">
        <v>4.3027281746031747</v>
      </c>
      <c r="K26" s="4" t="s">
        <v>69</v>
      </c>
      <c r="L26" s="10">
        <v>6.2775735294117646E-2</v>
      </c>
    </row>
    <row r="27" spans="2:12">
      <c r="H27" s="4" t="s">
        <v>57</v>
      </c>
      <c r="I27" s="9">
        <v>4.2099308099308095</v>
      </c>
      <c r="K27" s="4" t="s">
        <v>57</v>
      </c>
      <c r="L27" s="10">
        <v>0.11725490196078431</v>
      </c>
    </row>
    <row r="28" spans="2:12">
      <c r="H28" s="4" t="s">
        <v>41</v>
      </c>
      <c r="I28" s="9">
        <v>4.2071555237370086</v>
      </c>
      <c r="K28" s="4" t="s">
        <v>41</v>
      </c>
      <c r="L28" s="10">
        <v>6.0841260977377125E-2</v>
      </c>
    </row>
    <row r="29" spans="2:12">
      <c r="H29" s="4" t="s">
        <v>19</v>
      </c>
      <c r="I29" s="9">
        <v>4.0039319935812303</v>
      </c>
      <c r="K29" s="4" t="s">
        <v>19</v>
      </c>
      <c r="L29" s="10">
        <v>5.9009146234647314E-2</v>
      </c>
    </row>
    <row r="30" spans="2:12">
      <c r="H30" s="4" t="s">
        <v>20</v>
      </c>
      <c r="I30" s="9">
        <v>4.0434523173417851</v>
      </c>
      <c r="K30" s="4" t="s">
        <v>20</v>
      </c>
      <c r="L30" s="10">
        <v>5.5142174330454222E-2</v>
      </c>
    </row>
    <row r="31" spans="2:12">
      <c r="H31" s="4" t="s">
        <v>42</v>
      </c>
      <c r="I31" s="9">
        <v>3.8260353340943642</v>
      </c>
      <c r="K31" s="4" t="s">
        <v>42</v>
      </c>
      <c r="L31" s="10">
        <v>6.291476548836604E-2</v>
      </c>
    </row>
    <row r="32" spans="2:12">
      <c r="H32" s="4" t="s">
        <v>77</v>
      </c>
      <c r="I32" s="9">
        <v>3.83950844623552</v>
      </c>
      <c r="K32" s="4" t="s">
        <v>77</v>
      </c>
      <c r="L32" s="10">
        <v>0.14528061224489797</v>
      </c>
    </row>
    <row r="33" spans="8:12">
      <c r="H33" s="4" t="s">
        <v>58</v>
      </c>
      <c r="I33" s="9">
        <v>3.5793448505517467</v>
      </c>
      <c r="K33" s="4" t="s">
        <v>58</v>
      </c>
      <c r="L33" s="10">
        <v>2.0717948717948721E-2</v>
      </c>
    </row>
    <row r="34" spans="8:12">
      <c r="H34" s="4" t="s">
        <v>21</v>
      </c>
      <c r="I34" s="9">
        <v>4.1399960943804368</v>
      </c>
      <c r="K34" s="4" t="s">
        <v>21</v>
      </c>
      <c r="L34" s="10">
        <v>5.5329256102445531E-2</v>
      </c>
    </row>
    <row r="35" spans="8:12">
      <c r="H35" s="4" t="s">
        <v>59</v>
      </c>
      <c r="I35" s="9">
        <v>4.1416236534139346</v>
      </c>
      <c r="K35" s="4" t="s">
        <v>59</v>
      </c>
      <c r="L35" s="10">
        <v>7.4895572263993307E-2</v>
      </c>
    </row>
    <row r="36" spans="8:12">
      <c r="H36" s="4" t="s">
        <v>70</v>
      </c>
      <c r="I36" s="9">
        <v>4.528131765526723</v>
      </c>
      <c r="K36" s="4" t="s">
        <v>70</v>
      </c>
      <c r="L36" s="10">
        <v>4.9988404452690163E-2</v>
      </c>
    </row>
    <row r="37" spans="8:12">
      <c r="H37" s="4" t="s">
        <v>22</v>
      </c>
      <c r="I37" s="9">
        <v>3.1825396825396823</v>
      </c>
      <c r="K37" s="4" t="s">
        <v>22</v>
      </c>
      <c r="L37" s="10">
        <v>0</v>
      </c>
    </row>
    <row r="38" spans="8:12">
      <c r="H38" s="4" t="s">
        <v>65</v>
      </c>
      <c r="I38" s="9">
        <v>3.9849668717910762</v>
      </c>
      <c r="K38" s="4" t="s">
        <v>65</v>
      </c>
      <c r="L38" s="10">
        <v>4.3983472720031863E-2</v>
      </c>
    </row>
    <row r="39" spans="8:12">
      <c r="H39" s="4" t="s">
        <v>43</v>
      </c>
      <c r="I39" s="9">
        <v>4.1935714285714294</v>
      </c>
      <c r="K39" s="4" t="s">
        <v>43</v>
      </c>
      <c r="L39" s="10">
        <v>8.3333333333333329E-2</v>
      </c>
    </row>
    <row r="40" spans="8:12">
      <c r="H40" s="4" t="s">
        <v>23</v>
      </c>
      <c r="I40" s="9">
        <v>4.06780928872959</v>
      </c>
      <c r="K40" s="4" t="s">
        <v>23</v>
      </c>
      <c r="L40" s="10">
        <v>6.4116749851498608E-2</v>
      </c>
    </row>
    <row r="41" spans="8:12">
      <c r="H41" s="4" t="s">
        <v>24</v>
      </c>
      <c r="I41" s="9">
        <v>3.6288888888888886</v>
      </c>
      <c r="K41" s="4" t="s">
        <v>24</v>
      </c>
      <c r="L41" s="10">
        <v>6.6666666666666666E-2</v>
      </c>
    </row>
    <row r="42" spans="8:12">
      <c r="H42" s="4" t="s">
        <v>25</v>
      </c>
      <c r="I42" s="9">
        <v>4.1970859186492646</v>
      </c>
      <c r="K42" s="4" t="s">
        <v>25</v>
      </c>
      <c r="L42" s="10">
        <v>4.5762587063385644E-2</v>
      </c>
    </row>
    <row r="43" spans="8:12">
      <c r="H43" s="4" t="s">
        <v>74</v>
      </c>
      <c r="I43" s="9">
        <v>4.4285714285714288</v>
      </c>
      <c r="K43" s="4" t="s">
        <v>74</v>
      </c>
      <c r="L43" s="10">
        <v>0</v>
      </c>
    </row>
    <row r="44" spans="8:12">
      <c r="H44" s="4" t="s">
        <v>26</v>
      </c>
      <c r="I44" s="9">
        <v>3.9163810726310726</v>
      </c>
      <c r="K44" s="4" t="s">
        <v>26</v>
      </c>
      <c r="L44" s="10">
        <v>8.6026254447307077E-2</v>
      </c>
    </row>
    <row r="45" spans="8:12">
      <c r="H45" s="4" t="s">
        <v>27</v>
      </c>
      <c r="I45" s="9">
        <v>4.2942564599143545</v>
      </c>
      <c r="K45" s="4" t="s">
        <v>27</v>
      </c>
      <c r="L45" s="10">
        <v>4.5179933370722847E-2</v>
      </c>
    </row>
    <row r="46" spans="8:12">
      <c r="H46" s="4" t="s">
        <v>66</v>
      </c>
      <c r="I46" s="9">
        <v>4.3595238095238091</v>
      </c>
      <c r="K46" s="4" t="s">
        <v>66</v>
      </c>
      <c r="L46" s="10">
        <v>7.1428571428571425E-2</v>
      </c>
    </row>
    <row r="47" spans="8:12">
      <c r="H47" s="4" t="s">
        <v>44</v>
      </c>
      <c r="I47" s="9">
        <v>3.7849160561660566</v>
      </c>
      <c r="K47" s="4" t="s">
        <v>44</v>
      </c>
      <c r="L47" s="10">
        <v>0.1052747252747253</v>
      </c>
    </row>
    <row r="48" spans="8:12">
      <c r="H48" s="4" t="s">
        <v>28</v>
      </c>
      <c r="I48" s="9">
        <v>3.6532507525154587</v>
      </c>
      <c r="K48" s="4" t="s">
        <v>28</v>
      </c>
      <c r="L48" s="10">
        <v>5.4642857142857139E-2</v>
      </c>
    </row>
    <row r="49" spans="8:12">
      <c r="H49" s="4" t="s">
        <v>79</v>
      </c>
      <c r="I49" s="9">
        <v>4.4074074074074074</v>
      </c>
      <c r="K49" s="4" t="s">
        <v>79</v>
      </c>
      <c r="L49" s="10">
        <v>1.5873015873015872E-2</v>
      </c>
    </row>
    <row r="50" spans="8:12">
      <c r="H50" s="4" t="s">
        <v>29</v>
      </c>
      <c r="I50" s="9">
        <v>4.258339885847902</v>
      </c>
      <c r="K50" s="4" t="s">
        <v>29</v>
      </c>
      <c r="L50" s="10">
        <v>6.9725844479651231E-2</v>
      </c>
    </row>
    <row r="51" spans="8:12">
      <c r="H51" s="4" t="s">
        <v>67</v>
      </c>
      <c r="I51" s="9">
        <v>4.3125738205831432</v>
      </c>
      <c r="K51" s="4" t="s">
        <v>67</v>
      </c>
      <c r="L51" s="10">
        <v>5.7594148770619351E-2</v>
      </c>
    </row>
    <row r="52" spans="8:12">
      <c r="H52" s="4" t="s">
        <v>45</v>
      </c>
      <c r="I52" s="9">
        <v>4.185672514619883</v>
      </c>
      <c r="K52" s="4" t="s">
        <v>45</v>
      </c>
      <c r="L52" s="10">
        <v>7.5062656641603998E-2</v>
      </c>
    </row>
    <row r="53" spans="8:12">
      <c r="H53" s="4" t="s">
        <v>9</v>
      </c>
      <c r="I53" s="9">
        <v>3.9386299925586812</v>
      </c>
      <c r="K53" s="4" t="s">
        <v>9</v>
      </c>
      <c r="L53" s="10">
        <v>8.0355148964325565E-2</v>
      </c>
    </row>
    <row r="54" spans="8:12">
      <c r="H54" s="4" t="s">
        <v>46</v>
      </c>
      <c r="I54" s="9">
        <v>3.9842806185076931</v>
      </c>
      <c r="K54" s="4" t="s">
        <v>46</v>
      </c>
      <c r="L54" s="10">
        <v>7.9014284758079464E-2</v>
      </c>
    </row>
    <row r="55" spans="8:12">
      <c r="H55" s="4" t="s">
        <v>71</v>
      </c>
      <c r="I55" s="9">
        <v>3.5454545454545454</v>
      </c>
      <c r="K55" s="4" t="s">
        <v>71</v>
      </c>
      <c r="L55" s="10">
        <v>0.11363636363636363</v>
      </c>
    </row>
    <row r="56" spans="8:12">
      <c r="H56" s="4" t="s">
        <v>30</v>
      </c>
      <c r="I56" s="9">
        <v>4.0675018747061724</v>
      </c>
      <c r="K56" s="4" t="s">
        <v>30</v>
      </c>
      <c r="L56" s="10">
        <v>6.2286539721703151E-2</v>
      </c>
    </row>
    <row r="57" spans="8:12">
      <c r="H57" s="4" t="s">
        <v>10</v>
      </c>
      <c r="I57" s="9">
        <v>4.1337278427420827</v>
      </c>
      <c r="K57" s="4" t="s">
        <v>10</v>
      </c>
      <c r="L57" s="10">
        <v>7.0752657030962784E-2</v>
      </c>
    </row>
    <row r="58" spans="8:12">
      <c r="H58" s="4" t="s">
        <v>60</v>
      </c>
      <c r="I58" s="9">
        <v>4.2048144915143535</v>
      </c>
      <c r="K58" s="4" t="s">
        <v>60</v>
      </c>
      <c r="L58" s="10">
        <v>3.9908915276657575E-2</v>
      </c>
    </row>
    <row r="59" spans="8:12">
      <c r="H59" s="4" t="s">
        <v>47</v>
      </c>
      <c r="I59" s="9">
        <v>4.0657447443860484</v>
      </c>
      <c r="K59" s="4" t="s">
        <v>47</v>
      </c>
      <c r="L59" s="10">
        <v>9.4497006616571816E-2</v>
      </c>
    </row>
    <row r="60" spans="8:12">
      <c r="H60" s="4" t="s">
        <v>48</v>
      </c>
      <c r="I60" s="9">
        <v>3.6785714285714293</v>
      </c>
      <c r="K60" s="4" t="s">
        <v>48</v>
      </c>
      <c r="L60" s="10">
        <v>0.17857142857142858</v>
      </c>
    </row>
    <row r="61" spans="8:12">
      <c r="H61" s="4" t="s">
        <v>61</v>
      </c>
      <c r="I61" s="9">
        <v>3.8400471235963907</v>
      </c>
      <c r="K61" s="4" t="s">
        <v>61</v>
      </c>
      <c r="L61" s="10">
        <v>8.9070109185800883E-2</v>
      </c>
    </row>
    <row r="62" spans="8:12">
      <c r="H62" s="4" t="s">
        <v>62</v>
      </c>
      <c r="I62" s="9">
        <v>4.0383376608225561</v>
      </c>
      <c r="K62" s="4" t="s">
        <v>62</v>
      </c>
      <c r="L62" s="10">
        <v>5.2556651181059261E-2</v>
      </c>
    </row>
    <row r="63" spans="8:12">
      <c r="H63" s="4" t="s">
        <v>31</v>
      </c>
      <c r="I63" s="9">
        <v>4.0436540538916903</v>
      </c>
      <c r="K63" s="4" t="s">
        <v>31</v>
      </c>
      <c r="L63" s="10">
        <v>5.4537096868414778E-2</v>
      </c>
    </row>
    <row r="64" spans="8:12">
      <c r="H64" s="4" t="s">
        <v>32</v>
      </c>
      <c r="I64" s="9">
        <v>4.1910268662723027</v>
      </c>
      <c r="K64" s="4" t="s">
        <v>32</v>
      </c>
      <c r="L64" s="10">
        <v>3.9254809154234439E-2</v>
      </c>
    </row>
    <row r="65" spans="2:12">
      <c r="H65" s="4" t="s">
        <v>49</v>
      </c>
      <c r="I65" s="9">
        <v>4.0533089957936399</v>
      </c>
      <c r="K65" s="4" t="s">
        <v>49</v>
      </c>
      <c r="L65" s="10">
        <v>3.4721638655462184E-2</v>
      </c>
    </row>
    <row r="66" spans="2:12">
      <c r="H66" s="4" t="s">
        <v>72</v>
      </c>
      <c r="I66" s="9">
        <v>3.875</v>
      </c>
      <c r="K66" s="4" t="s">
        <v>72</v>
      </c>
      <c r="L66" s="10">
        <v>0</v>
      </c>
    </row>
    <row r="67" spans="2:12">
      <c r="H67" s="4" t="s">
        <v>50</v>
      </c>
      <c r="I67" s="9">
        <v>4.3513545870430734</v>
      </c>
      <c r="K67" s="4" t="s">
        <v>50</v>
      </c>
      <c r="L67" s="10">
        <v>5.0538809368385687E-2</v>
      </c>
    </row>
    <row r="68" spans="2:12">
      <c r="H68" s="4" t="s">
        <v>33</v>
      </c>
      <c r="I68" s="9">
        <v>4.0003629309735453</v>
      </c>
      <c r="K68" s="4" t="s">
        <v>33</v>
      </c>
      <c r="L68" s="10">
        <v>3.887066365007541E-2</v>
      </c>
    </row>
    <row r="69" spans="2:12">
      <c r="H69" s="4" t="s">
        <v>51</v>
      </c>
      <c r="I69" s="9">
        <v>4.2178571428571425</v>
      </c>
      <c r="K69" s="4" t="s">
        <v>51</v>
      </c>
      <c r="L69" s="10">
        <v>3.2142857142857147E-2</v>
      </c>
    </row>
    <row r="70" spans="2:12">
      <c r="B70" s="10"/>
      <c r="H70" s="4" t="s">
        <v>52</v>
      </c>
      <c r="I70" s="9">
        <v>4.0813933393656345</v>
      </c>
      <c r="K70" s="4" t="s">
        <v>52</v>
      </c>
      <c r="L70" s="10">
        <v>7.2761147562701495E-2</v>
      </c>
    </row>
    <row r="71" spans="2:12">
      <c r="H71" s="4" t="s">
        <v>34</v>
      </c>
      <c r="I71" s="9">
        <v>3.5415099890188904</v>
      </c>
      <c r="K71" s="4" t="s">
        <v>34</v>
      </c>
      <c r="L71" s="10">
        <v>9.6423271110050182E-2</v>
      </c>
    </row>
    <row r="72" spans="2:12">
      <c r="H72" s="4" t="s">
        <v>78</v>
      </c>
      <c r="I72" s="9">
        <v>3.6696428571428572</v>
      </c>
      <c r="K72" s="4" t="s">
        <v>78</v>
      </c>
      <c r="L72" s="10">
        <v>0</v>
      </c>
    </row>
    <row r="73" spans="2:12" ht="19" customHeight="1">
      <c r="H73" s="4" t="s">
        <v>35</v>
      </c>
      <c r="I73" s="9">
        <v>4.2039044281358073</v>
      </c>
      <c r="K73" s="4" t="s">
        <v>35</v>
      </c>
      <c r="L73" s="10">
        <v>6.2354144915948387E-2</v>
      </c>
    </row>
    <row r="74" spans="2:12">
      <c r="H74" s="4" t="s">
        <v>36</v>
      </c>
      <c r="I74" s="9">
        <v>4.1754385366154896</v>
      </c>
      <c r="K74" s="4" t="s">
        <v>36</v>
      </c>
      <c r="L74" s="10">
        <v>5.3164781243352187E-2</v>
      </c>
    </row>
    <row r="75" spans="2:12">
      <c r="H75" s="4" t="s">
        <v>53</v>
      </c>
      <c r="I75" s="9">
        <v>2.5</v>
      </c>
      <c r="K75" s="4" t="s">
        <v>53</v>
      </c>
      <c r="L75" s="10">
        <v>0</v>
      </c>
    </row>
    <row r="76" spans="2:12">
      <c r="H76" s="4" t="s">
        <v>68</v>
      </c>
      <c r="I76" s="9">
        <v>3.8815881631494653</v>
      </c>
      <c r="K76" s="4" t="s">
        <v>68</v>
      </c>
      <c r="L76" s="10">
        <v>6.7063492063492061E-2</v>
      </c>
    </row>
    <row r="77" spans="2:12">
      <c r="H77" s="4" t="s">
        <v>54</v>
      </c>
      <c r="I77" s="9">
        <v>4.1564872341141159</v>
      </c>
      <c r="K77" s="4" t="s">
        <v>54</v>
      </c>
      <c r="L77" s="10">
        <v>5.1255416677746135E-2</v>
      </c>
    </row>
    <row r="78" spans="2:12">
      <c r="H78" s="4" t="s">
        <v>75</v>
      </c>
      <c r="I78" s="9">
        <v>3.9597105508870216</v>
      </c>
      <c r="K78" s="4" t="s">
        <v>75</v>
      </c>
      <c r="L78" s="10">
        <v>4.4444444444444446E-2</v>
      </c>
    </row>
    <row r="79" spans="2:12">
      <c r="H79" s="4" t="s">
        <v>37</v>
      </c>
      <c r="I79" s="9">
        <v>4.1381357162290575</v>
      </c>
      <c r="K79" s="4" t="s">
        <v>37</v>
      </c>
      <c r="L79" s="10">
        <v>5.7672294549408143E-2</v>
      </c>
    </row>
    <row r="80" spans="2:12">
      <c r="H80" s="4" t="s">
        <v>55</v>
      </c>
      <c r="I80" s="9">
        <v>4.2693844277366297</v>
      </c>
      <c r="K80" s="4" t="s">
        <v>55</v>
      </c>
      <c r="L80" s="10">
        <v>5.830737991898316E-2</v>
      </c>
    </row>
    <row r="81" spans="2:14">
      <c r="H81" s="4" t="s">
        <v>63</v>
      </c>
      <c r="I81" s="9">
        <v>4.2228506787330318</v>
      </c>
      <c r="K81" s="4" t="s">
        <v>63</v>
      </c>
      <c r="L81" s="10">
        <v>4.9579831932773107E-2</v>
      </c>
    </row>
    <row r="82" spans="2:14">
      <c r="H82" s="4" t="s">
        <v>11</v>
      </c>
      <c r="I82" s="9">
        <v>3.9932339121056257</v>
      </c>
      <c r="K82" s="4" t="s">
        <v>11</v>
      </c>
      <c r="L82" s="10">
        <v>6.0306108681153971E-2</v>
      </c>
    </row>
    <row r="83" spans="2:14">
      <c r="H83" s="4" t="s">
        <v>38</v>
      </c>
      <c r="I83" s="9">
        <v>4.2021864698888169</v>
      </c>
      <c r="K83" s="4" t="s">
        <v>38</v>
      </c>
      <c r="L83" s="10">
        <v>5.5413876519970741E-2</v>
      </c>
    </row>
    <row r="84" spans="2:14">
      <c r="H84" s="4" t="s">
        <v>39</v>
      </c>
      <c r="I84" s="9">
        <v>4.0392536877846288</v>
      </c>
      <c r="K84" s="4" t="s">
        <v>39</v>
      </c>
      <c r="L84" s="10">
        <v>6.3825655115560612E-2</v>
      </c>
    </row>
    <row r="85" spans="2:14">
      <c r="H85" s="4" t="s">
        <v>102</v>
      </c>
      <c r="I85" s="9">
        <v>3.8860428058939291</v>
      </c>
      <c r="K85" s="4" t="s">
        <v>102</v>
      </c>
      <c r="L85" s="10">
        <v>6.4739573129334177E-2</v>
      </c>
    </row>
    <row r="86" spans="2:14">
      <c r="H86" s="4" t="s">
        <v>81</v>
      </c>
      <c r="I86" s="9">
        <v>4.0552035768978829</v>
      </c>
      <c r="K86" s="4" t="s">
        <v>81</v>
      </c>
      <c r="L86" s="10">
        <v>6.2839364241716725E-2</v>
      </c>
      <c r="N86" s="10"/>
    </row>
    <row r="90" spans="2:14">
      <c r="B90" s="3" t="s">
        <v>80</v>
      </c>
      <c r="C90" t="s">
        <v>85</v>
      </c>
      <c r="D90" t="s">
        <v>84</v>
      </c>
      <c r="F90" s="3" t="s">
        <v>80</v>
      </c>
      <c r="G90" t="s">
        <v>104</v>
      </c>
      <c r="J90" t="s">
        <v>105</v>
      </c>
      <c r="K90" t="s">
        <v>89</v>
      </c>
      <c r="L90" t="s">
        <v>106</v>
      </c>
    </row>
    <row r="91" spans="2:14">
      <c r="B91" s="4" t="s">
        <v>90</v>
      </c>
      <c r="C91" s="8">
        <v>1249146.5199999998</v>
      </c>
      <c r="D91" s="7">
        <v>8059</v>
      </c>
      <c r="F91" s="4" t="s">
        <v>90</v>
      </c>
      <c r="G91" s="10">
        <v>4.257522943383657E-2</v>
      </c>
      <c r="H91" s="10"/>
      <c r="J91" s="4" t="str">
        <f>F91</f>
        <v>Jan</v>
      </c>
      <c r="K91" s="10">
        <f>G91</f>
        <v>4.257522943383657E-2</v>
      </c>
      <c r="L91" s="10">
        <f>$G$103</f>
        <v>6.283936424171678E-2</v>
      </c>
    </row>
    <row r="92" spans="2:14">
      <c r="B92" s="4" t="s">
        <v>91</v>
      </c>
      <c r="C92" s="8">
        <v>1278800.1599999999</v>
      </c>
      <c r="D92" s="7">
        <v>8462</v>
      </c>
      <c r="F92" s="4" t="s">
        <v>91</v>
      </c>
      <c r="G92" s="10">
        <v>9.4022078519838209E-2</v>
      </c>
      <c r="H92" s="10"/>
      <c r="J92" s="4" t="str">
        <f t="shared" ref="J92:K102" si="0">F92</f>
        <v>Feb</v>
      </c>
      <c r="K92" s="10">
        <f t="shared" ref="K92:K102" si="1">G92</f>
        <v>9.4022078519838209E-2</v>
      </c>
      <c r="L92" s="10">
        <f t="shared" ref="L92:L102" si="2">$G$103</f>
        <v>6.283936424171678E-2</v>
      </c>
    </row>
    <row r="93" spans="2:14">
      <c r="B93" s="4" t="s">
        <v>92</v>
      </c>
      <c r="C93" s="8">
        <v>1590510.9800000004</v>
      </c>
      <c r="D93" s="7">
        <v>9901</v>
      </c>
      <c r="F93" s="4" t="s">
        <v>92</v>
      </c>
      <c r="G93" s="10">
        <v>0.10793386601303288</v>
      </c>
      <c r="H93" s="10"/>
      <c r="J93" s="4" t="str">
        <f t="shared" si="0"/>
        <v>Mar</v>
      </c>
      <c r="K93" s="10">
        <f t="shared" si="1"/>
        <v>0.10793386601303288</v>
      </c>
      <c r="L93" s="10">
        <f t="shared" si="2"/>
        <v>6.283936424171678E-2</v>
      </c>
    </row>
    <row r="94" spans="2:14">
      <c r="B94" s="4" t="s">
        <v>93</v>
      </c>
      <c r="C94" s="8">
        <v>1572879.42</v>
      </c>
      <c r="D94" s="7">
        <v>9409</v>
      </c>
      <c r="F94" s="4" t="s">
        <v>93</v>
      </c>
      <c r="G94" s="10">
        <v>7.5808144305931996E-2</v>
      </c>
      <c r="H94" s="10"/>
      <c r="J94" s="4" t="str">
        <f t="shared" si="0"/>
        <v>Apr</v>
      </c>
      <c r="K94" s="10">
        <f t="shared" si="1"/>
        <v>7.5808144305931996E-2</v>
      </c>
      <c r="L94" s="10">
        <f t="shared" si="2"/>
        <v>6.283936424171678E-2</v>
      </c>
    </row>
    <row r="95" spans="2:14">
      <c r="B95" s="4" t="s">
        <v>94</v>
      </c>
      <c r="C95" s="8">
        <v>1737333.0199999996</v>
      </c>
      <c r="D95" s="7">
        <v>10609</v>
      </c>
      <c r="F95" s="4" t="s">
        <v>94</v>
      </c>
      <c r="G95" s="10">
        <v>4.8675524893278921E-2</v>
      </c>
      <c r="H95" s="10"/>
      <c r="J95" s="4" t="str">
        <f t="shared" si="0"/>
        <v>May</v>
      </c>
      <c r="K95" s="10">
        <f t="shared" si="1"/>
        <v>4.8675524893278921E-2</v>
      </c>
      <c r="L95" s="10">
        <f t="shared" si="2"/>
        <v>6.283936424171678E-2</v>
      </c>
    </row>
    <row r="96" spans="2:14">
      <c r="B96" s="4" t="s">
        <v>95</v>
      </c>
      <c r="C96" s="8">
        <v>1529190.1300000004</v>
      </c>
      <c r="D96" s="7">
        <v>9453</v>
      </c>
      <c r="F96" s="4" t="s">
        <v>95</v>
      </c>
      <c r="G96" s="10">
        <v>1.4068092137115571E-2</v>
      </c>
      <c r="H96" s="10"/>
      <c r="J96" s="4" t="str">
        <f t="shared" si="0"/>
        <v>Jun</v>
      </c>
      <c r="K96" s="10">
        <f t="shared" si="1"/>
        <v>1.4068092137115571E-2</v>
      </c>
      <c r="L96" s="10">
        <f t="shared" si="2"/>
        <v>6.283936424171678E-2</v>
      </c>
    </row>
    <row r="97" spans="2:12">
      <c r="B97" s="4" t="s">
        <v>96</v>
      </c>
      <c r="C97" s="8">
        <v>1646328.0999999992</v>
      </c>
      <c r="D97" s="7">
        <v>10342</v>
      </c>
      <c r="F97" s="4" t="s">
        <v>96</v>
      </c>
      <c r="G97" s="10">
        <v>3.7540374868618734E-2</v>
      </c>
      <c r="H97" s="10"/>
      <c r="J97" s="4" t="str">
        <f t="shared" si="0"/>
        <v>Jul</v>
      </c>
      <c r="K97" s="10">
        <f t="shared" si="1"/>
        <v>3.7540374868618734E-2</v>
      </c>
      <c r="L97" s="10">
        <f t="shared" si="2"/>
        <v>6.283936424171678E-2</v>
      </c>
    </row>
    <row r="98" spans="2:12">
      <c r="B98" s="4" t="s">
        <v>97</v>
      </c>
      <c r="C98" s="8">
        <v>1674418.3300000008</v>
      </c>
      <c r="D98" s="7">
        <v>10863</v>
      </c>
      <c r="F98" s="4" t="s">
        <v>97</v>
      </c>
      <c r="G98" s="10">
        <v>4.014220156923836E-2</v>
      </c>
      <c r="H98" s="10"/>
      <c r="J98" s="4" t="str">
        <f t="shared" si="0"/>
        <v>Aug</v>
      </c>
      <c r="K98" s="10">
        <f t="shared" si="1"/>
        <v>4.014220156923836E-2</v>
      </c>
      <c r="L98" s="10">
        <f t="shared" si="2"/>
        <v>6.283936424171678E-2</v>
      </c>
    </row>
    <row r="99" spans="2:12">
      <c r="B99" s="4" t="s">
        <v>98</v>
      </c>
      <c r="C99" s="8">
        <v>722525.89999999991</v>
      </c>
      <c r="D99" s="7">
        <v>4274</v>
      </c>
      <c r="F99" s="4" t="s">
        <v>98</v>
      </c>
      <c r="G99" s="10">
        <v>7.6020599271805323E-2</v>
      </c>
      <c r="H99" s="10"/>
      <c r="J99" s="4" t="str">
        <f t="shared" si="0"/>
        <v>Sep</v>
      </c>
      <c r="K99" s="10">
        <f t="shared" si="1"/>
        <v>7.6020599271805323E-2</v>
      </c>
      <c r="L99" s="10">
        <f t="shared" si="2"/>
        <v>6.283936424171678E-2</v>
      </c>
    </row>
    <row r="100" spans="2:12">
      <c r="B100" s="4" t="s">
        <v>99</v>
      </c>
      <c r="C100" s="8">
        <v>770766.73</v>
      </c>
      <c r="D100" s="7">
        <v>4604</v>
      </c>
      <c r="F100" s="4" t="s">
        <v>99</v>
      </c>
      <c r="G100" s="10">
        <v>6.2641058135952679E-2</v>
      </c>
      <c r="H100" s="10"/>
      <c r="J100" s="4" t="str">
        <f t="shared" si="0"/>
        <v>Oct</v>
      </c>
      <c r="K100" s="10">
        <f t="shared" si="1"/>
        <v>6.2641058135952679E-2</v>
      </c>
      <c r="L100" s="10">
        <f t="shared" si="2"/>
        <v>6.283936424171678E-2</v>
      </c>
    </row>
    <row r="101" spans="2:12">
      <c r="B101" s="4" t="s">
        <v>100</v>
      </c>
      <c r="C101" s="8">
        <v>1184621.1399999999</v>
      </c>
      <c r="D101" s="7">
        <v>7513</v>
      </c>
      <c r="F101" s="4" t="s">
        <v>100</v>
      </c>
      <c r="G101" s="10">
        <v>0.13598365585293107</v>
      </c>
      <c r="H101" s="10"/>
      <c r="J101" s="4" t="str">
        <f t="shared" si="0"/>
        <v>Nov</v>
      </c>
      <c r="K101" s="10">
        <f t="shared" si="1"/>
        <v>0.13598365585293107</v>
      </c>
      <c r="L101" s="10">
        <f t="shared" si="2"/>
        <v>6.283936424171678E-2</v>
      </c>
    </row>
    <row r="102" spans="2:12">
      <c r="B102" s="4" t="s">
        <v>101</v>
      </c>
      <c r="C102" s="8">
        <v>865689.69</v>
      </c>
      <c r="D102" s="7">
        <v>5665</v>
      </c>
      <c r="F102" s="4" t="s">
        <v>101</v>
      </c>
      <c r="G102" s="10">
        <v>5.9674775079247705E-2</v>
      </c>
      <c r="H102" s="10"/>
      <c r="J102" s="4" t="str">
        <f t="shared" si="0"/>
        <v>Dec</v>
      </c>
      <c r="K102" s="10">
        <f t="shared" si="1"/>
        <v>5.9674775079247705E-2</v>
      </c>
      <c r="L102" s="10">
        <f t="shared" si="2"/>
        <v>6.283936424171678E-2</v>
      </c>
    </row>
    <row r="103" spans="2:12">
      <c r="B103" s="4" t="s">
        <v>81</v>
      </c>
      <c r="C103" s="8">
        <v>15822210.120000001</v>
      </c>
      <c r="D103" s="7">
        <v>99154</v>
      </c>
      <c r="F103" s="4" t="s">
        <v>81</v>
      </c>
      <c r="G103" s="10">
        <v>6.283936424171678E-2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907EE-C863-4540-B8E4-B4D0BEE4B665}">
  <dimension ref="B9:I65"/>
  <sheetViews>
    <sheetView showGridLines="0" tabSelected="1" zoomScale="50" zoomScaleNormal="61" workbookViewId="0">
      <selection activeCell="M29" sqref="M29"/>
    </sheetView>
  </sheetViews>
  <sheetFormatPr baseColWidth="10" defaultRowHeight="16"/>
  <cols>
    <col min="1" max="1" width="14.83203125" customWidth="1"/>
    <col min="2" max="2" width="14.1640625" bestFit="1" customWidth="1"/>
    <col min="3" max="3" width="21.6640625" bestFit="1" customWidth="1"/>
    <col min="4" max="4" width="13.83203125" bestFit="1" customWidth="1"/>
    <col min="5" max="5" width="20.83203125" customWidth="1"/>
    <col min="8" max="8" width="20.83203125" customWidth="1"/>
    <col min="11" max="11" width="20.83203125" customWidth="1"/>
    <col min="13" max="13" width="26.5" customWidth="1"/>
  </cols>
  <sheetData>
    <row r="9" spans="3:9" ht="18" customHeight="1"/>
    <row r="10" spans="3:9">
      <c r="C10" s="13">
        <f>Pivot_Category_Analytics!D6</f>
        <v>15822210.119999994</v>
      </c>
    </row>
    <row r="11" spans="3:9">
      <c r="I11" s="5">
        <f>Pivot_Category_Analytics!C6</f>
        <v>4.0552035768978802</v>
      </c>
    </row>
    <row r="12" spans="3:9">
      <c r="E12" s="14">
        <f>Pivot_Category_Analytics!E6</f>
        <v>99154</v>
      </c>
    </row>
    <row r="35" spans="2:2">
      <c r="B35" s="12"/>
    </row>
    <row r="65" spans="2:2">
      <c r="B6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6145AE-A494-C548-B341-4E428E22D3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category_monthly_metrics (2)</vt:lpstr>
      <vt:lpstr>Pivot_Category_Analytics</vt:lpstr>
      <vt:lpstr>CATEGORY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Alaleh Riahi</dc:creator>
  <cp:lastModifiedBy>Alaleh Riahi</cp:lastModifiedBy>
  <dcterms:created xsi:type="dcterms:W3CDTF">2025-12-10T01:29:24Z</dcterms:created>
  <dcterms:modified xsi:type="dcterms:W3CDTF">2025-12-15T05:19:14Z</dcterms:modified>
</cp:coreProperties>
</file>